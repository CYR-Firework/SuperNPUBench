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2e4dd91734f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数据" sheetId="1" r:id="R51ab6aa5b5bc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%"/>
    <x:numFmt numFmtId="165" formatCode="0.0"/>
    <x:numFmt numFmtId="166" formatCode="#,##0.0"/>
    <x:numFmt numFmtId="167" formatCode="0.00&quot;x&quot;"/>
    <x:numFmt numFmtId="168" formatCode="#,##0.##"/>
  </x:numFmts>
  <x:fonts count="38">
    <x:font>
      <x:sz val="11"/>
      <x:name val="Carlito"/>
    </x:font>
    <x:font>
      <x:sz val="10"/>
      <x:color rgb="FF333333"/>
      <x:name val="Arial"/>
    </x:font>
    <x:font>
      <x:b/>
      <x:sz val="14"/>
      <x:color rgb="FF17365D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b/>
      <x:sz val="10"/>
      <x:color rgb="FF2E7D32"/>
      <x:name val="Arial"/>
    </x:font>
    <x:font>
      <x:b/>
      <x:sz val="10"/>
      <x:color rgb="FFC00000"/>
      <x:name val="Arial"/>
    </x:font>
    <x:font>
      <x:b/>
      <x:sz val="10"/>
      <x:color rgb="FF666666"/>
      <x:name val="Arial"/>
    </x:font>
    <x:font>
      <x:b/>
      <x:sz val="10"/>
      <x:color rgb="FF375623"/>
      <x:name val="Arial"/>
    </x:font>
    <x:font>
      <x:b/>
      <x:sz val="10"/>
      <x:color rgb="FF548235"/>
      <x:name val="Arial"/>
    </x:font>
    <x:font>
      <x:sz val="10"/>
      <x:color rgb="FF404040"/>
      <x:name val="Arial"/>
    </x:font>
    <x:font>
      <x:b/>
      <x:sz val="10"/>
      <x:color rgb="FF404040"/>
      <x:name val="Arial"/>
    </x:font>
    <x:font>
      <x:sz val="10"/>
      <x:color rgb="FF404040"/>
      <x:name val="Arial"/>
    </x:font>
    <x:font>
      <x:sz val="10"/>
      <x:color rgb="FF404040"/>
      <x:name val="Arial"/>
    </x:font>
    <x:font>
      <x:i/>
      <x:sz val="10"/>
      <x:color rgb="FF404040"/>
      <x:name val="Arial"/>
    </x:font>
    <x:font>
      <x:b/>
      <x:sz val="9"/>
      <x:color rgb="FFFFFFFF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b/>
      <x:sz val="9"/>
      <x:color rgb="FF548235"/>
      <x:name val="Arial"/>
    </x:font>
    <x:font>
      <x:b/>
      <x:sz val="9"/>
      <x:color rgb="FFC00000"/>
      <x:name val="Arial"/>
    </x:font>
    <x:font>
      <x:b/>
      <x:sz val="9"/>
      <x:color rgb="FF7F7F7F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</x:fonts>
  <x:fills count="13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44546A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C6E0B4"/>
      </x:patternFill>
    </x:fill>
  </x:fills>
  <x:borders count="2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7365D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top style="thin">
        <x:color rgb="FFD9E2F3"/>
      </x:top>
      <x:bottom style="medium">
        <x:color rgb="FF44546A"/>
      </x:bottom>
    </x:border>
    <x:border>
      <x:top style="thin">
        <x:color rgb="FFD9E2F3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medium">
        <x:color rgb="FF17365D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3012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0" borderId="1" xfId="0" applyAlignment="1">
      <x:alignment vertical="center"/>
    </x:xf>
    <x:xf numFmtId="0" fontId="1" fillId="0" borderId="2" xfId="0" applyAlignment="1">
      <x:alignment vertical="center"/>
    </x:xf>
    <x:xf numFmtId="0" fontId="2" fillId="0" borderId="2" xfId="0" applyAlignment="1">
      <x:alignment vertical="center"/>
    </x:xf>
    <x:xf numFmtId="0" fontId="2" fillId="0" borderId="3" xfId="0" applyAlignment="1">
      <x:alignment vertical="center"/>
    </x:xf>
    <x:xf numFmtId="0" fontId="3" fillId="0" borderId="2" xfId="0" applyAlignment="1">
      <x:alignment vertical="center"/>
    </x:xf>
    <x:xf numFmtId="0" fontId="1" fillId="2" borderId="2" xfId="0" applyAlignment="1">
      <x:alignment vertical="center"/>
    </x:xf>
    <x:xf numFmtId="0" fontId="4" fillId="2" borderId="2" xfId="0" applyAlignment="1">
      <x:alignment vertical="center"/>
    </x:xf>
    <x:xf numFmtId="0" fontId="4" fillId="2" borderId="2" xfId="0" applyAlignment="1">
      <x:alignment horizontal="center" vertical="center"/>
    </x:xf>
    <x:xf numFmtId="0" fontId="4" fillId="2" borderId="4" xfId="0" applyAlignment="1">
      <x:alignment horizontal="center" vertical="center"/>
    </x:xf>
    <x:xf numFmtId="0" fontId="4" fillId="2" borderId="5" xfId="0" applyAlignment="1">
      <x:alignment horizontal="center" vertical="center"/>
    </x:xf>
    <x:xf numFmtId="0" fontId="4" fillId="2" borderId="6" xfId="0" applyAlignment="1">
      <x:alignment horizontal="center" vertical="center"/>
    </x:xf>
    <x:xf numFmtId="0" fontId="1" fillId="3" borderId="2" xfId="0" applyAlignment="1">
      <x:alignment vertical="center"/>
    </x:xf>
    <x:xf numFmtId="0" fontId="4" fillId="3" borderId="2" xfId="0" applyAlignment="1">
      <x:alignment vertical="center"/>
    </x:xf>
    <x:xf numFmtId="0" fontId="4" fillId="3" borderId="2" xfId="0" applyAlignment="1">
      <x:alignment horizontal="center" vertical="center"/>
    </x:xf>
    <x:xf numFmtId="0" fontId="4" fillId="3" borderId="2" xfId="0" applyAlignment="1">
      <x:alignment horizontal="center" vertical="center" wrapText="1"/>
    </x:xf>
    <x:xf numFmtId="0" fontId="4" fillId="3" borderId="4" xfId="0" applyAlignment="1">
      <x:alignment horizontal="center" vertical="center" wrapText="1"/>
    </x:xf>
    <x:xf numFmtId="0" fontId="4" fillId="3" borderId="5" xfId="0" applyAlignment="1">
      <x:alignment horizontal="center" vertical="center" wrapText="1"/>
    </x:xf>
    <x:xf numFmtId="0" fontId="4" fillId="3" borderId="6" xfId="0" applyAlignment="1">
      <x:alignment horizontal="center" vertical="center" wrapText="1"/>
    </x:xf>
    <x:xf numFmtId="0" fontId="1" fillId="0" borderId="2" xfId="0" applyAlignment="1">
      <x:alignment horizontal="left" vertical="center"/>
    </x:xf>
    <x:xf numFmtId="0" fontId="1" fillId="0" borderId="2" xfId="0" applyAlignment="1">
      <x:alignment horizontal="right" vertical="center"/>
    </x:xf>
    <x:xf numFmtId="0" fontId="1" fillId="0" borderId="2" xfId="0" applyAlignment="1">
      <x:alignment horizontal="center" vertical="center"/>
    </x:xf>
    <x:xf numFmtId="3" fontId="1" fillId="0" borderId="2" xfId="0" applyAlignment="1">
      <x:alignment horizontal="right" vertical="center"/>
    </x:xf>
    <x:xf numFmtId="164" fontId="1" fillId="0" borderId="2" xfId="0" applyAlignment="1">
      <x:alignment horizontal="right" vertical="center"/>
    </x:xf>
    <x:xf numFmtId="165" fontId="1" fillId="0" borderId="2" xfId="0" applyAlignment="1">
      <x:alignment horizontal="right" vertical="center"/>
    </x:xf>
    <x:xf numFmtId="0" fontId="1" fillId="4" borderId="2" xfId="0" applyAlignment="1">
      <x:alignment horizontal="left" vertical="center"/>
    </x:xf>
    <x:xf numFmtId="0" fontId="1" fillId="4" borderId="2" xfId="0" applyAlignment="1">
      <x:alignment horizontal="right" vertical="center"/>
    </x:xf>
    <x:xf numFmtId="3" fontId="1" fillId="4" borderId="2" xfId="0" applyAlignment="1">
      <x:alignment horizontal="right" vertical="center"/>
    </x:xf>
    <x:xf numFmtId="164" fontId="1" fillId="4" borderId="2" xfId="0" applyAlignment="1">
      <x:alignment horizontal="right" vertical="center"/>
    </x:xf>
    <x:xf numFmtId="165" fontId="1" fillId="4" borderId="2" xfId="0" applyAlignment="1">
      <x:alignment horizontal="right" vertical="center"/>
    </x:xf>
    <x:xf numFmtId="0" fontId="1" fillId="4" borderId="2" xfId="0" applyAlignment="1">
      <x:alignment horizontal="center" vertical="center"/>
    </x:xf>
    <x:xf numFmtId="0" fontId="1" fillId="5" borderId="2" xfId="0" applyAlignment="1">
      <x:alignment horizontal="left" vertical="center"/>
    </x:xf>
    <x:xf numFmtId="0" fontId="1" fillId="5" borderId="2" xfId="0" applyAlignment="1">
      <x:alignment horizontal="right" vertical="center"/>
    </x:xf>
    <x:xf numFmtId="3" fontId="1" fillId="5" borderId="2" xfId="0" applyAlignment="1">
      <x:alignment horizontal="right" vertical="center"/>
    </x:xf>
    <x:xf numFmtId="164" fontId="1" fillId="5" borderId="2" xfId="0" applyAlignment="1">
      <x:alignment horizontal="right" vertical="center"/>
    </x:xf>
    <x:xf numFmtId="165" fontId="1" fillId="5" borderId="2" xfId="0" applyAlignment="1">
      <x:alignment horizontal="right" vertical="center"/>
    </x:xf>
    <x:xf numFmtId="0" fontId="1" fillId="5" borderId="2" xfId="0" applyAlignment="1">
      <x:alignment horizontal="center" vertical="center"/>
    </x:xf>
    <x:xf numFmtId="0" fontId="1" fillId="6" borderId="2" xfId="0" applyAlignment="1">
      <x:alignment horizontal="left" vertical="center"/>
    </x:xf>
    <x:xf numFmtId="0" fontId="1" fillId="6" borderId="2" xfId="0" applyAlignment="1">
      <x:alignment horizontal="right" vertical="center"/>
    </x:xf>
    <x:xf numFmtId="3" fontId="1" fillId="6" borderId="2" xfId="0" applyAlignment="1">
      <x:alignment horizontal="right" vertical="center"/>
    </x:xf>
    <x:xf numFmtId="164" fontId="1" fillId="6" borderId="2" xfId="0" applyAlignment="1">
      <x:alignment horizontal="right" vertical="center"/>
    </x:xf>
    <x:xf numFmtId="165" fontId="1" fillId="6" borderId="2" xfId="0" applyAlignment="1">
      <x:alignment horizontal="right" vertical="center"/>
    </x:xf>
    <x:xf numFmtId="0" fontId="1" fillId="6" borderId="2" xfId="0" applyAlignment="1">
      <x:alignment horizontal="center" vertical="center"/>
    </x:xf>
    <x:xf numFmtId="0" fontId="1" fillId="7" borderId="2" xfId="0" applyAlignment="1">
      <x:alignment horizontal="left" vertical="center"/>
    </x:xf>
    <x:xf numFmtId="0" fontId="1" fillId="7" borderId="2" xfId="0" applyAlignment="1">
      <x:alignment horizontal="right" vertical="center"/>
    </x:xf>
    <x:xf numFmtId="3" fontId="1" fillId="7" borderId="2" xfId="0" applyAlignment="1">
      <x:alignment horizontal="right" vertical="center"/>
    </x:xf>
    <x:xf numFmtId="164" fontId="1" fillId="7" borderId="2" xfId="0" applyAlignment="1">
      <x:alignment horizontal="right" vertical="center"/>
    </x:xf>
    <x:xf numFmtId="165" fontId="1" fillId="7" borderId="2" xfId="0" applyAlignment="1">
      <x:alignment horizontal="right" vertical="center"/>
    </x:xf>
    <x:xf numFmtId="0" fontId="1" fillId="7" borderId="2" xfId="0" applyAlignment="1">
      <x:alignment horizontal="center" vertical="center"/>
    </x:xf>
    <x:xf numFmtId="0" fontId="1" fillId="2" borderId="2" xfId="0" applyAlignment="1">
      <x:alignment horizontal="left" vertical="center"/>
    </x:xf>
    <x:xf numFmtId="0" fontId="1" fillId="2" borderId="2" xfId="0" applyAlignment="1">
      <x:alignment horizontal="right" vertical="center"/>
    </x:xf>
    <x:xf numFmtId="3" fontId="1" fillId="2" borderId="2" xfId="0" applyAlignment="1">
      <x:alignment horizontal="right" vertical="center"/>
    </x:xf>
    <x:xf numFmtId="164" fontId="1" fillId="2" borderId="2" xfId="0" applyAlignment="1">
      <x:alignment horizontal="right" vertical="center"/>
    </x:xf>
    <x:xf numFmtId="165" fontId="1" fillId="2" borderId="2" xfId="0" applyAlignment="1">
      <x:alignment horizontal="right" vertical="center"/>
    </x:xf>
    <x:xf numFmtId="0" fontId="1" fillId="2" borderId="2" xfId="0" applyAlignment="1">
      <x:alignment horizontal="center" vertical="center"/>
    </x:xf>
    <x:xf numFmtId="0" fontId="5" fillId="2" borderId="2" xfId="0" applyAlignment="1">
      <x:alignment horizontal="left" vertical="center"/>
    </x:xf>
    <x:xf numFmtId="0" fontId="5" fillId="2" borderId="2" xfId="0" applyAlignment="1">
      <x:alignment horizontal="right" vertical="center"/>
    </x:xf>
    <x:xf numFmtId="3" fontId="5" fillId="2" borderId="2" xfId="0" applyAlignment="1">
      <x:alignment horizontal="right" vertical="center"/>
    </x:xf>
    <x:xf numFmtId="164" fontId="5" fillId="2" borderId="2" xfId="0" applyAlignment="1">
      <x:alignment horizontal="right" vertical="center"/>
    </x:xf>
    <x:xf numFmtId="165" fontId="5" fillId="2" borderId="2" xfId="0" applyAlignment="1">
      <x:alignment horizontal="right" vertical="center"/>
    </x:xf>
    <x:xf numFmtId="0" fontId="5" fillId="2" borderId="2" xfId="0" applyAlignment="1">
      <x:alignment horizontal="center" vertical="center"/>
    </x:xf>
    <x:xf numFmtId="0" fontId="5" fillId="2" borderId="7" xfId="0" applyAlignment="1">
      <x:alignment horizontal="left" vertical="center"/>
    </x:xf>
    <x:xf numFmtId="0" fontId="5" fillId="2" borderId="8" xfId="0" applyAlignment="1">
      <x:alignment horizontal="right" vertical="center"/>
    </x:xf>
    <x:xf numFmtId="3" fontId="5" fillId="2" borderId="8" xfId="0" applyAlignment="1">
      <x:alignment horizontal="right" vertical="center"/>
    </x:xf>
    <x:xf numFmtId="164" fontId="5" fillId="2" borderId="8" xfId="0" applyAlignment="1">
      <x:alignment horizontal="right" vertical="center"/>
    </x:xf>
    <x:xf numFmtId="165" fontId="5" fillId="2" borderId="8" xfId="0" applyAlignment="1">
      <x:alignment horizontal="right" vertical="center"/>
    </x:xf>
    <x:xf numFmtId="0" fontId="5" fillId="2" borderId="9" xfId="0" applyAlignment="1">
      <x:alignment horizontal="center" vertical="center"/>
    </x:xf>
    <x:xf numFmtId="0" fontId="1" fillId="8" borderId="2" xfId="0" applyAlignment="1">
      <x:alignment horizontal="left" vertical="center"/>
    </x:xf>
    <x:xf numFmtId="0" fontId="1" fillId="8" borderId="2" xfId="0" applyAlignment="1">
      <x:alignment horizontal="right" vertical="center"/>
    </x:xf>
    <x:xf numFmtId="3" fontId="1" fillId="8" borderId="2" xfId="0" applyAlignment="1">
      <x:alignment horizontal="right" vertical="center"/>
    </x:xf>
    <x:xf numFmtId="164" fontId="1" fillId="8" borderId="2" xfId="0" applyAlignment="1">
      <x:alignment horizontal="right" vertical="center"/>
    </x:xf>
    <x:xf numFmtId="165" fontId="1" fillId="8" borderId="2" xfId="0" applyAlignment="1">
      <x:alignment horizontal="right" vertical="center"/>
    </x:xf>
    <x:xf numFmtId="0" fontId="1" fillId="8" borderId="2" xfId="0" applyAlignment="1">
      <x:alignment horizontal="center" vertical="center"/>
    </x:xf>
    <x:xf numFmtId="0" fontId="4" fillId="8" borderId="2" xfId="0" applyAlignment="1">
      <x:alignment horizontal="left" vertical="center"/>
    </x:xf>
    <x:xf numFmtId="0" fontId="4" fillId="8" borderId="2" xfId="0" applyAlignment="1">
      <x:alignment horizontal="right" vertical="center"/>
    </x:xf>
    <x:xf numFmtId="3" fontId="4" fillId="8" borderId="2" xfId="0" applyAlignment="1">
      <x:alignment horizontal="right" vertical="center"/>
    </x:xf>
    <x:xf numFmtId="164" fontId="4" fillId="8" borderId="2" xfId="0" applyAlignment="1">
      <x:alignment horizontal="right" vertical="center"/>
    </x:xf>
    <x:xf numFmtId="165" fontId="4" fillId="8" borderId="2" xfId="0" applyAlignment="1">
      <x:alignment horizontal="right" vertical="center"/>
    </x:xf>
    <x:xf numFmtId="0" fontId="4" fillId="8" borderId="2" xfId="0" applyAlignment="1">
      <x:alignment horizontal="center" vertical="center"/>
    </x:xf>
    <x:xf numFmtId="0" fontId="4" fillId="8" borderId="10" xfId="0" applyAlignment="1">
      <x:alignment horizontal="left" vertical="center"/>
    </x:xf>
    <x:xf numFmtId="0" fontId="4" fillId="8" borderId="10" xfId="0" applyAlignment="1">
      <x:alignment horizontal="right" vertical="center"/>
    </x:xf>
    <x:xf numFmtId="3" fontId="4" fillId="8" borderId="10" xfId="0" applyAlignment="1">
      <x:alignment horizontal="right" vertical="center"/>
    </x:xf>
    <x:xf numFmtId="164" fontId="4" fillId="8" borderId="10" xfId="0" applyAlignment="1">
      <x:alignment horizontal="right" vertical="center"/>
    </x:xf>
    <x:xf numFmtId="165" fontId="4" fillId="8" borderId="10" xfId="0" applyAlignment="1">
      <x:alignment horizontal="right" vertical="center"/>
    </x:xf>
    <x:xf numFmtId="0" fontId="4" fillId="8" borderId="10" xfId="0" applyAlignment="1">
      <x:alignment horizontal="center" vertical="center"/>
    </x:xf>
    <x:xf numFmtId="0" fontId="6" fillId="4" borderId="2" xfId="0" applyAlignment="1">
      <x:alignment horizontal="center" vertical="center"/>
    </x:xf>
    <x:xf numFmtId="0" fontId="7" fillId="5" borderId="2" xfId="0" applyAlignment="1">
      <x:alignment horizontal="center" vertical="center"/>
    </x:xf>
    <x:xf numFmtId="0" fontId="6" fillId="5" borderId="2" xfId="0" applyAlignment="1">
      <x:alignment horizontal="center" vertical="center"/>
    </x:xf>
    <x:xf numFmtId="0" fontId="7" fillId="6" borderId="2" xfId="0" applyAlignment="1">
      <x:alignment horizontal="center" vertical="center"/>
    </x:xf>
    <x:xf numFmtId="0" fontId="6" fillId="6" borderId="2" xfId="0" applyAlignment="1">
      <x:alignment horizontal="center" vertical="center"/>
    </x:xf>
    <x:xf numFmtId="0" fontId="6" fillId="7" borderId="2" xfId="0" applyAlignment="1">
      <x:alignment horizontal="center" vertical="center"/>
    </x:xf>
    <x:xf numFmtId="0" fontId="7" fillId="7" borderId="2" xfId="0" applyAlignment="1">
      <x:alignment horizontal="center" vertical="center"/>
    </x:xf>
    <x:xf numFmtId="0" fontId="7" fillId="4" borderId="2" xfId="0" applyAlignment="1">
      <x:alignment horizontal="center" vertical="center"/>
    </x:xf>
    <x:xf numFmtId="0" fontId="8" fillId="5" borderId="2" xfId="0" applyAlignment="1">
      <x:alignment horizontal="center" vertical="center"/>
    </x:xf>
    <x:xf numFmtId="0" fontId="8" fillId="6" borderId="2" xfId="0" applyAlignment="1">
      <x:alignment horizontal="center" vertical="center"/>
    </x:xf>
    <x:xf numFmtId="0" fontId="8" fillId="7" borderId="2" xfId="0" applyAlignment="1">
      <x:alignment horizontal="center" vertical="center"/>
    </x:xf>
    <x:xf numFmtId="0" fontId="8" fillId="4" borderId="2" xfId="0" applyAlignment="1">
      <x:alignment horizontal="center" vertical="center"/>
    </x:xf>
    <x:xf numFmtId="0" fontId="9" fillId="4" borderId="2" xfId="0" applyAlignment="1">
      <x:alignment horizontal="right" vertical="center"/>
    </x:xf>
    <x:xf numFmtId="164" fontId="1" fillId="9" borderId="2" xfId="0" applyAlignment="1">
      <x:alignment horizontal="right" vertical="center"/>
    </x:xf>
    <x:xf numFmtId="164" fontId="9" fillId="9" borderId="2" xfId="0" applyAlignment="1">
      <x:alignment horizontal="right" vertical="center"/>
    </x:xf>
    <x:xf numFmtId="0" fontId="9" fillId="5" borderId="2" xfId="0" applyAlignment="1">
      <x:alignment horizontal="right" vertical="center"/>
    </x:xf>
    <x:xf numFmtId="0" fontId="9" fillId="6" borderId="2" xfId="0" applyAlignment="1">
      <x:alignment horizontal="right" vertical="center"/>
    </x:xf>
    <x:xf numFmtId="0" fontId="9" fillId="7" borderId="2" xfId="0" applyAlignment="1">
      <x:alignment horizontal="right" vertical="center"/>
    </x:xf>
    <x:xf numFmtId="0" fontId="0" fillId="0" borderId="3" xfId="0"/>
    <x:xf numFmtId="0" fontId="0" fillId="0" borderId="2" xfId="0"/>
    <x:xf numFmtId="0" fontId="0" fillId="0" borderId="5" xfId="0"/>
    <x:xf numFmtId="0" fontId="0" fillId="0" borderId="6" xfId="0"/>
    <x:xf numFmtId="3" fontId="5" fillId="2" borderId="8" xfId="0" applyAlignment="1">
      <x:alignment horizontal="right" vertical="center"/>
    </x:xf>
    <x:xf numFmtId="164" fontId="5" fillId="2" borderId="8" xfId="0" applyAlignment="1">
      <x:alignment horizontal="right" vertical="center"/>
    </x:xf>
    <x:xf numFmtId="165" fontId="5" fillId="2" borderId="8" xfId="0" applyAlignment="1">
      <x:alignment horizontal="right" vertical="center"/>
    </x:xf>
    <x:xf numFmtId="3" fontId="4" fillId="8" borderId="10" xfId="0" applyAlignment="1">
      <x:alignment horizontal="right" vertical="center"/>
    </x:xf>
    <x:xf numFmtId="164" fontId="4" fillId="8" borderId="10" xfId="0" applyAlignment="1">
      <x:alignment horizontal="right" vertical="center"/>
    </x:xf>
    <x:xf numFmtId="165" fontId="4" fillId="8" borderId="10" xfId="0" applyAlignment="1">
      <x:alignment horizontal="right" vertical="center"/>
    </x:xf>
    <x:xf numFmtId="3" fontId="1" fillId="4" borderId="2" xfId="0" applyAlignment="1">
      <x:alignment horizontal="right" vertical="center"/>
    </x:xf>
    <x:xf numFmtId="164" fontId="1" fillId="4" borderId="2" xfId="0" applyAlignment="1">
      <x:alignment horizontal="right" vertical="center"/>
    </x:xf>
    <x:xf numFmtId="165" fontId="1" fillId="4" borderId="2" xfId="0" applyAlignment="1">
      <x:alignment horizontal="right" vertical="center"/>
    </x:xf>
    <x:xf numFmtId="164" fontId="9" fillId="9" borderId="2" xfId="0" applyAlignment="1">
      <x:alignment horizontal="right" vertical="center"/>
    </x:xf>
    <x:xf numFmtId="3" fontId="1" fillId="5" borderId="2" xfId="0" applyAlignment="1">
      <x:alignment horizontal="right" vertical="center"/>
    </x:xf>
    <x:xf numFmtId="164" fontId="1" fillId="5" borderId="2" xfId="0" applyAlignment="1">
      <x:alignment horizontal="right" vertical="center"/>
    </x:xf>
    <x:xf numFmtId="165" fontId="1" fillId="5" borderId="2" xfId="0" applyAlignment="1">
      <x:alignment horizontal="right" vertical="center"/>
    </x:xf>
    <x:xf numFmtId="3" fontId="1" fillId="6" borderId="2" xfId="0" applyAlignment="1">
      <x:alignment horizontal="right" vertical="center"/>
    </x:xf>
    <x:xf numFmtId="164" fontId="1" fillId="6" borderId="2" xfId="0" applyAlignment="1">
      <x:alignment horizontal="right" vertical="center"/>
    </x:xf>
    <x:xf numFmtId="165" fontId="1" fillId="6" borderId="2" xfId="0" applyAlignment="1">
      <x:alignment horizontal="right" vertical="center"/>
    </x:xf>
    <x:xf numFmtId="3" fontId="1" fillId="7" borderId="2" xfId="0" applyAlignment="1">
      <x:alignment horizontal="right" vertical="center"/>
    </x:xf>
    <x:xf numFmtId="164" fontId="1" fillId="7" borderId="2" xfId="0" applyAlignment="1">
      <x:alignment horizontal="right" vertical="center"/>
    </x:xf>
    <x:xf numFmtId="165" fontId="1" fillId="7" borderId="2" xfId="0" applyAlignment="1">
      <x:alignment horizontal="right" vertical="center"/>
    </x:xf>
    <x:xf numFmtId="3" fontId="1" fillId="0" borderId="2" xfId="0" applyAlignment="1">
      <x:alignment horizontal="right" vertical="center"/>
    </x:xf>
    <x:xf numFmtId="164" fontId="1" fillId="0" borderId="2" xfId="0" applyAlignment="1">
      <x:alignment horizontal="right" vertical="center"/>
    </x:xf>
    <x:xf numFmtId="165" fontId="1" fillId="0" borderId="2" xfId="0" applyAlignment="1">
      <x:alignment horizontal="right" vertical="center"/>
    </x:xf>
    <x:xf numFmtId="1" fontId="5" fillId="2" borderId="8" xfId="0" applyAlignment="1">
      <x:alignment horizontal="right" vertical="center"/>
    </x:xf>
    <x:xf numFmtId="1" fontId="4" fillId="8" borderId="10" xfId="0" applyAlignment="1">
      <x:alignment horizontal="right" vertical="center"/>
    </x:xf>
    <x:xf numFmtId="1" fontId="1" fillId="4" borderId="2" xfId="0" applyAlignment="1">
      <x:alignment horizontal="right" vertical="center"/>
    </x:xf>
    <x:xf numFmtId="1" fontId="1" fillId="5" borderId="2" xfId="0" applyAlignment="1">
      <x:alignment horizontal="right" vertical="center"/>
    </x:xf>
    <x:xf numFmtId="1" fontId="1" fillId="6" borderId="2" xfId="0" applyAlignment="1">
      <x:alignment horizontal="right" vertical="center"/>
    </x:xf>
    <x:xf numFmtId="1" fontId="1" fillId="7" borderId="2" xfId="0" applyAlignment="1">
      <x:alignment horizontal="right" vertical="center"/>
    </x:xf>
    <x:xf numFmtId="3" fontId="5" fillId="2" borderId="8" xfId="0" applyAlignment="1">
      <x:alignment horizontal="right" vertical="center"/>
    </x:xf>
    <x:xf numFmtId="3" fontId="4" fillId="8" borderId="10" xfId="0" applyAlignment="1">
      <x:alignment horizontal="right" vertical="center"/>
    </x:xf>
    <x:xf numFmtId="3" fontId="1" fillId="4" borderId="2" xfId="0" applyAlignment="1">
      <x:alignment horizontal="right" vertical="center"/>
    </x:xf>
    <x:xf numFmtId="3" fontId="9" fillId="9" borderId="2" xfId="0" applyAlignment="1">
      <x:alignment horizontal="right" vertical="center"/>
    </x:xf>
    <x:xf numFmtId="3" fontId="1" fillId="5" borderId="2" xfId="0" applyAlignment="1">
      <x:alignment horizontal="right" vertical="center"/>
    </x:xf>
    <x:xf numFmtId="3" fontId="1" fillId="6" borderId="2" xfId="0" applyAlignment="1">
      <x:alignment horizontal="right" vertical="center"/>
    </x:xf>
    <x:xf numFmtId="3" fontId="1" fillId="7" borderId="2" xfId="0" applyAlignment="1">
      <x:alignment horizontal="right" vertical="center"/>
    </x:xf>
    <x:xf numFmtId="164" fontId="5" fillId="2" borderId="8" xfId="0" applyAlignment="1">
      <x:alignment horizontal="right" vertical="center"/>
    </x:xf>
    <x:xf numFmtId="164" fontId="4" fillId="8" borderId="10" xfId="0" applyAlignment="1">
      <x:alignment horizontal="right" vertical="center"/>
    </x:xf>
    <x:xf numFmtId="164" fontId="1" fillId="4" borderId="2" xfId="0" applyAlignment="1">
      <x:alignment horizontal="right" vertical="center"/>
    </x:xf>
    <x:xf numFmtId="164" fontId="1" fillId="5" borderId="2" xfId="0" applyAlignment="1">
      <x:alignment horizontal="right" vertical="center"/>
    </x:xf>
    <x:xf numFmtId="164" fontId="1" fillId="6" borderId="2" xfId="0" applyAlignment="1">
      <x:alignment horizontal="right" vertical="center"/>
    </x:xf>
    <x:xf numFmtId="164" fontId="1" fillId="7" borderId="2" xfId="0" applyAlignment="1">
      <x:alignment horizontal="right" vertical="center"/>
    </x:xf>
    <x:xf numFmtId="165" fontId="5" fillId="2" borderId="8" xfId="0" applyAlignment="1">
      <x:alignment horizontal="right" vertical="center"/>
    </x:xf>
    <x:xf numFmtId="165" fontId="4" fillId="8" borderId="10" xfId="0" applyAlignment="1">
      <x:alignment horizontal="right" vertical="center"/>
    </x:xf>
    <x:xf numFmtId="165" fontId="1" fillId="4" borderId="2" xfId="0" applyAlignment="1">
      <x:alignment horizontal="right" vertical="center"/>
    </x:xf>
    <x:xf numFmtId="165" fontId="1" fillId="5" borderId="2" xfId="0" applyAlignment="1">
      <x:alignment horizontal="right" vertical="center"/>
    </x:xf>
    <x:xf numFmtId="165" fontId="1" fillId="6" borderId="2" xfId="0" applyAlignment="1">
      <x:alignment horizontal="right" vertical="center"/>
    </x:xf>
    <x:xf numFmtId="165" fontId="1" fillId="7" borderId="2" xfId="0" applyAlignment="1">
      <x:alignment horizontal="right" vertical="center"/>
    </x:xf>
    <x:xf numFmtId="165" fontId="5" fillId="2" borderId="9" xfId="0" applyAlignment="1">
      <x:alignment horizontal="center" vertical="center"/>
    </x:xf>
    <x:xf numFmtId="165" fontId="4" fillId="8" borderId="10" xfId="0" applyAlignment="1">
      <x:alignment horizontal="center" vertical="center"/>
    </x:xf>
    <x:xf numFmtId="165" fontId="6" fillId="4" borderId="2" xfId="0" applyAlignment="1">
      <x:alignment horizontal="center" vertical="center"/>
    </x:xf>
    <x:xf numFmtId="165" fontId="7" fillId="5" borderId="2" xfId="0" applyAlignment="1">
      <x:alignment horizontal="center" vertical="center"/>
    </x:xf>
    <x:xf numFmtId="165" fontId="6" fillId="5" borderId="2" xfId="0" applyAlignment="1">
      <x:alignment horizontal="center" vertical="center"/>
    </x:xf>
    <x:xf numFmtId="165" fontId="7" fillId="6" borderId="2" xfId="0" applyAlignment="1">
      <x:alignment horizontal="center" vertical="center"/>
    </x:xf>
    <x:xf numFmtId="165" fontId="6" fillId="6" borderId="2" xfId="0" applyAlignment="1">
      <x:alignment horizontal="center" vertical="center"/>
    </x:xf>
    <x:xf numFmtId="165" fontId="6" fillId="7" borderId="2" xfId="0" applyAlignment="1">
      <x:alignment horizontal="center" vertical="center"/>
    </x:xf>
    <x:xf numFmtId="165" fontId="7" fillId="7" borderId="2" xfId="0" applyAlignment="1">
      <x:alignment horizontal="center" vertical="center"/>
    </x:xf>
    <x:xf numFmtId="165" fontId="7" fillId="4" borderId="2" xfId="0" applyAlignment="1">
      <x:alignment horizontal="center" vertical="center"/>
    </x:xf>
    <x:xf numFmtId="165" fontId="8" fillId="5" borderId="2" xfId="0" applyAlignment="1">
      <x:alignment horizontal="center" vertical="center"/>
    </x:xf>
    <x:xf numFmtId="165" fontId="8" fillId="6" borderId="2" xfId="0" applyAlignment="1">
      <x:alignment horizontal="center" vertical="center"/>
    </x:xf>
    <x:xf numFmtId="165" fontId="8" fillId="7" borderId="2" xfId="0" applyAlignment="1">
      <x:alignment horizontal="center" vertical="center"/>
    </x:xf>
    <x:xf numFmtId="165" fontId="8" fillId="4" borderId="2" xfId="0" applyAlignment="1">
      <x:alignment horizontal="center" vertical="center"/>
    </x:xf>
    <x:xf numFmtId="0" fontId="0" fillId="10" borderId="5" xfId="0"/>
    <x:xf numFmtId="0" fontId="4" fillId="10" borderId="5" xfId="0" applyAlignment="1">
      <x:alignment horizontal="center" vertical="center"/>
    </x:xf>
    <x:xf numFmtId="0" fontId="4" fillId="10" borderId="6" xfId="0" applyAlignment="1">
      <x:alignment horizontal="center" vertical="center"/>
    </x:xf>
    <x:xf numFmtId="0" fontId="0" fillId="10" borderId="6" xfId="0"/>
    <x:xf numFmtId="0" fontId="0" fillId="10" borderId="0" xfId="0"/>
    <x:xf numFmtId="0" fontId="4" fillId="10" borderId="5" xfId="0"/>
    <x:xf numFmtId="0" fontId="4" fillId="10" borderId="6" xfId="0"/>
    <x:xf numFmtId="0" fontId="4" fillId="10" borderId="0" xfId="0"/>
    <x:xf numFmtId="0" fontId="4" fillId="10" borderId="4" xfId="0"/>
    <x:xf numFmtId="0" fontId="4" fillId="10" borderId="4" xfId="0" applyAlignment="1">
      <x:alignment horizontal="center"/>
    </x:xf>
    <x:xf numFmtId="0" fontId="4" fillId="10" borderId="5" xfId="0" applyAlignment="1">
      <x:alignment horizontal="center"/>
    </x:xf>
    <x:xf numFmtId="0" fontId="4" fillId="10" borderId="6" xfId="0" applyAlignment="1">
      <x:alignment horizontal="center"/>
    </x:xf>
    <x:xf numFmtId="0" fontId="4" fillId="10" borderId="4" xfId="0" applyAlignment="1">
      <x:alignment horizontal="center" vertical="center"/>
    </x:xf>
    <x:xf numFmtId="0" fontId="0" fillId="11" borderId="0" xfId="0"/>
    <x:xf numFmtId="0" fontId="4" fillId="11" borderId="0" xfId="0"/>
    <x:xf numFmtId="0" fontId="4" fillId="11" borderId="14" xfId="0"/>
    <x:xf numFmtId="0" fontId="4" fillId="11" borderId="14" xfId="0" applyAlignment="1">
      <x:alignment wrapText="1"/>
    </x:xf>
    <x:xf numFmtId="0" fontId="4" fillId="11" borderId="14" xfId="0" applyAlignment="1">
      <x:alignment horizontal="center" wrapText="1"/>
    </x:xf>
    <x:xf numFmtId="0" fontId="4" fillId="11" borderId="14" xfId="0" applyAlignment="1">
      <x:alignment horizontal="center" vertical="center" wrapText="1"/>
    </x:xf>
    <x:xf numFmtId="0" fontId="4" fillId="10" borderId="15" xfId="0"/>
    <x:xf numFmtId="0" fontId="0" fillId="12" borderId="0" xfId="0"/>
    <x:xf numFmtId="0" fontId="4" fillId="12" borderId="0" xfId="0"/>
    <x:xf numFmtId="0" fontId="4" fillId="12" borderId="15" xfId="0"/>
    <x:xf numFmtId="0" fontId="0" fillId="13" borderId="0" xfId="0"/>
    <x:xf numFmtId="0" fontId="7" fillId="13" borderId="0" xfId="0"/>
    <x:xf numFmtId="0" fontId="7" fillId="13" borderId="15" xfId="0"/>
    <x:xf numFmtId="0" fontId="7" fillId="13" borderId="15" xfId="0" applyAlignment="1">
      <x:alignment horizontal="center"/>
    </x:xf>
    <x:xf numFmtId="0" fontId="7" fillId="13" borderId="15" xfId="0" applyAlignment="1">
      <x:alignment horizontal="center" vertical="center"/>
    </x:xf>
    <x:xf numFmtId="0" fontId="10" fillId="13" borderId="0" xfId="0"/>
    <x:xf numFmtId="0" fontId="10" fillId="13" borderId="15" xfId="0"/>
    <x:xf numFmtId="0" fontId="10" fillId="13" borderId="15" xfId="0" applyAlignment="1">
      <x:alignment horizontal="center"/>
    </x:xf>
    <x:xf numFmtId="0" fontId="10" fillId="13" borderId="15" xfId="0" applyAlignment="1">
      <x:alignment horizontal="center" vertical="center"/>
    </x:xf>
    <x:xf numFmtId="0" fontId="0" fillId="14" borderId="0" xfId="0"/>
    <x:xf numFmtId="0" fontId="7" fillId="14" borderId="0" xfId="0"/>
    <x:xf numFmtId="0" fontId="7" fillId="14" borderId="15" xfId="0"/>
    <x:xf numFmtId="0" fontId="7" fillId="14" borderId="15" xfId="0" applyAlignment="1">
      <x:alignment horizontal="center"/>
    </x:xf>
    <x:xf numFmtId="0" fontId="7" fillId="14" borderId="15" xfId="0" applyAlignment="1">
      <x:alignment horizontal="center" vertical="center"/>
    </x:xf>
    <x:xf numFmtId="0" fontId="10" fillId="14" borderId="0" xfId="0"/>
    <x:xf numFmtId="0" fontId="10" fillId="14" borderId="15" xfId="0"/>
    <x:xf numFmtId="0" fontId="10" fillId="14" borderId="15" xfId="0" applyAlignment="1">
      <x:alignment horizontal="center"/>
    </x:xf>
    <x:xf numFmtId="0" fontId="10" fillId="14" borderId="15" xfId="0" applyAlignment="1">
      <x:alignment horizontal="center" vertical="center"/>
    </x:xf>
    <x:xf numFmtId="0" fontId="0" fillId="15" borderId="0" xfId="0"/>
    <x:xf numFmtId="0" fontId="7" fillId="15" borderId="0" xfId="0"/>
    <x:xf numFmtId="0" fontId="7" fillId="15" borderId="15" xfId="0"/>
    <x:xf numFmtId="0" fontId="7" fillId="15" borderId="15" xfId="0" applyAlignment="1">
      <x:alignment horizontal="center"/>
    </x:xf>
    <x:xf numFmtId="0" fontId="7" fillId="15" borderId="15" xfId="0" applyAlignment="1">
      <x:alignment horizontal="center" vertical="center"/>
    </x:xf>
    <x:xf numFmtId="0" fontId="10" fillId="15" borderId="0" xfId="0"/>
    <x:xf numFmtId="0" fontId="10" fillId="15" borderId="15" xfId="0"/>
    <x:xf numFmtId="0" fontId="10" fillId="15" borderId="15" xfId="0" applyAlignment="1">
      <x:alignment horizontal="center"/>
    </x:xf>
    <x:xf numFmtId="0" fontId="10" fillId="15" borderId="15" xfId="0" applyAlignment="1">
      <x:alignment horizontal="center" vertical="center"/>
    </x:xf>
    <x:xf numFmtId="0" fontId="0" fillId="16" borderId="0" xfId="0"/>
    <x:xf numFmtId="0" fontId="10" fillId="16" borderId="0" xfId="0"/>
    <x:xf numFmtId="0" fontId="10" fillId="16" borderId="15" xfId="0"/>
    <x:xf numFmtId="0" fontId="10" fillId="16" borderId="15" xfId="0" applyAlignment="1">
      <x:alignment horizontal="center"/>
    </x:xf>
    <x:xf numFmtId="0" fontId="10" fillId="16" borderId="15" xfId="0" applyAlignment="1">
      <x:alignment horizontal="center" vertical="center"/>
    </x:xf>
    <x:xf numFmtId="0" fontId="7" fillId="16" borderId="0" xfId="0"/>
    <x:xf numFmtId="0" fontId="7" fillId="16" borderId="15" xfId="0"/>
    <x:xf numFmtId="0" fontId="7" fillId="16" borderId="15" xfId="0" applyAlignment="1">
      <x:alignment horizontal="center"/>
    </x:xf>
    <x:xf numFmtId="0" fontId="7" fillId="16" borderId="15" xfId="0" applyAlignment="1">
      <x:alignment horizontal="center" vertical="center"/>
    </x:xf>
    <x:xf numFmtId="166" fontId="5" fillId="2" borderId="8" xfId="0" applyAlignment="1">
      <x:alignment horizontal="right" vertical="center"/>
    </x:xf>
    <x:xf numFmtId="166" fontId="4" fillId="8" borderId="10" xfId="0" applyAlignment="1">
      <x:alignment horizontal="right" vertical="center"/>
    </x:xf>
    <x:xf numFmtId="166" fontId="1" fillId="4" borderId="2" xfId="0" applyAlignment="1">
      <x:alignment horizontal="right" vertical="center"/>
    </x:xf>
    <x:xf numFmtId="166" fontId="1" fillId="5" borderId="2" xfId="0" applyAlignment="1">
      <x:alignment horizontal="right" vertical="center"/>
    </x:xf>
    <x:xf numFmtId="166" fontId="1" fillId="6" borderId="2" xfId="0" applyAlignment="1">
      <x:alignment horizontal="right" vertical="center"/>
    </x:xf>
    <x:xf numFmtId="166" fontId="1" fillId="7" borderId="2" xfId="0" applyAlignment="1">
      <x:alignment horizontal="right" vertical="center"/>
    </x:xf>
    <x:xf numFmtId="164" fontId="5" fillId="2" borderId="9" xfId="0" applyAlignment="1">
      <x:alignment horizontal="center" vertical="center"/>
    </x:xf>
    <x:xf numFmtId="164" fontId="4" fillId="2" borderId="15" xfId="0"/>
    <x:xf numFmtId="164" fontId="4" fillId="8" borderId="10" xfId="0" applyAlignment="1">
      <x:alignment horizontal="center" vertical="center"/>
    </x:xf>
    <x:xf numFmtId="164" fontId="4" fillId="8" borderId="15" xfId="0"/>
    <x:xf numFmtId="164" fontId="6" fillId="4" borderId="2" xfId="0" applyAlignment="1">
      <x:alignment horizontal="center" vertical="center"/>
    </x:xf>
    <x:xf numFmtId="164" fontId="7" fillId="4" borderId="15" xfId="0" applyAlignment="1">
      <x:alignment horizontal="center" vertical="center"/>
    </x:xf>
    <x:xf numFmtId="164" fontId="10" fillId="4" borderId="15" xfId="0" applyAlignment="1">
      <x:alignment horizontal="center" vertical="center"/>
    </x:xf>
    <x:xf numFmtId="164" fontId="7" fillId="5" borderId="2" xfId="0" applyAlignment="1">
      <x:alignment horizontal="center" vertical="center"/>
    </x:xf>
    <x:xf numFmtId="164" fontId="7" fillId="5" borderId="15" xfId="0" applyAlignment="1">
      <x:alignment horizontal="center" vertical="center"/>
    </x:xf>
    <x:xf numFmtId="164" fontId="6" fillId="5" borderId="2" xfId="0" applyAlignment="1">
      <x:alignment horizontal="center" vertical="center"/>
    </x:xf>
    <x:xf numFmtId="164" fontId="10" fillId="5" borderId="15" xfId="0" applyAlignment="1">
      <x:alignment horizontal="center" vertical="center"/>
    </x:xf>
    <x:xf numFmtId="164" fontId="7" fillId="6" borderId="2" xfId="0" applyAlignment="1">
      <x:alignment horizontal="center" vertical="center"/>
    </x:xf>
    <x:xf numFmtId="164" fontId="7" fillId="6" borderId="15" xfId="0" applyAlignment="1">
      <x:alignment horizontal="center" vertical="center"/>
    </x:xf>
    <x:xf numFmtId="164" fontId="6" fillId="6" borderId="2" xfId="0" applyAlignment="1">
      <x:alignment horizontal="center" vertical="center"/>
    </x:xf>
    <x:xf numFmtId="164" fontId="10" fillId="6" borderId="15" xfId="0" applyAlignment="1">
      <x:alignment horizontal="center" vertical="center"/>
    </x:xf>
    <x:xf numFmtId="164" fontId="6" fillId="7" borderId="2" xfId="0" applyAlignment="1">
      <x:alignment horizontal="center" vertical="center"/>
    </x:xf>
    <x:xf numFmtId="164" fontId="10" fillId="7" borderId="15" xfId="0" applyAlignment="1">
      <x:alignment horizontal="center" vertical="center"/>
    </x:xf>
    <x:xf numFmtId="164" fontId="7" fillId="7" borderId="2" xfId="0" applyAlignment="1">
      <x:alignment horizontal="center" vertical="center"/>
    </x:xf>
    <x:xf numFmtId="164" fontId="7" fillId="7" borderId="15" xfId="0" applyAlignment="1">
      <x:alignment horizontal="center" vertical="center"/>
    </x:xf>
    <x:xf numFmtId="164" fontId="7" fillId="4" borderId="2" xfId="0" applyAlignment="1">
      <x:alignment horizontal="center" vertical="center"/>
    </x:xf>
    <x:xf numFmtId="164" fontId="8" fillId="5" borderId="2" xfId="0" applyAlignment="1">
      <x:alignment horizontal="center" vertical="center"/>
    </x:xf>
    <x:xf numFmtId="164" fontId="8" fillId="6" borderId="2" xfId="0" applyAlignment="1">
      <x:alignment horizontal="center" vertical="center"/>
    </x:xf>
    <x:xf numFmtId="164" fontId="8" fillId="7" borderId="2" xfId="0" applyAlignment="1">
      <x:alignment horizontal="center" vertical="center"/>
    </x:xf>
    <x:xf numFmtId="164" fontId="8" fillId="4" borderId="2" xfId="0" applyAlignment="1">
      <x:alignment horizontal="center" vertical="center"/>
    </x:xf>
    <x:xf numFmtId="165" fontId="0" fillId="0" borderId="0" xfId="0"/>
    <x:xf numFmtId="0" fontId="4" fillId="17" borderId="4" xfId="0" applyAlignment="1">
      <x:alignment horizontal="center" vertical="center"/>
    </x:xf>
    <x:xf numFmtId="0" fontId="4" fillId="17" borderId="5" xfId="0" applyAlignment="1">
      <x:alignment horizontal="center" vertical="center"/>
    </x:xf>
    <x:xf numFmtId="0" fontId="4" fillId="17" borderId="6" xfId="0" applyAlignment="1">
      <x:alignment horizontal="center" vertical="center"/>
    </x:xf>
    <x:xf numFmtId="0" fontId="0" fillId="17" borderId="0" xfId="0"/>
    <x:xf numFmtId="0" fontId="4" fillId="17" borderId="0" xfId="0"/>
    <x:xf numFmtId="0" fontId="4" fillId="17" borderId="5" xfId="0"/>
    <x:xf numFmtId="0" fontId="4" fillId="17" borderId="6" xfId="0"/>
    <x:xf numFmtId="0" fontId="4" fillId="17" borderId="5" xfId="0" applyAlignment="1">
      <x:alignment horizontal="center"/>
    </x:xf>
    <x:xf numFmtId="0" fontId="4" fillId="17" borderId="6" xfId="0" applyAlignment="1">
      <x:alignment horizontal="center"/>
    </x:xf>
    <x:xf numFmtId="0" fontId="4" fillId="18" borderId="5" xfId="0" applyAlignment="1">
      <x:alignment horizontal="center" vertical="center" wrapText="1"/>
    </x:xf>
    <x:xf numFmtId="0" fontId="4" fillId="18" borderId="6" xfId="0" applyAlignment="1">
      <x:alignment horizontal="center" vertical="center" wrapText="1"/>
    </x:xf>
    <x:xf numFmtId="0" fontId="4" fillId="18" borderId="14" xfId="0" applyAlignment="1">
      <x:alignment horizontal="center" vertical="center" wrapText="1"/>
    </x:xf>
    <x:xf numFmtId="0" fontId="0" fillId="18" borderId="0" xfId="0"/>
    <x:xf numFmtId="0" fontId="4" fillId="18" borderId="0" xfId="0"/>
    <x:xf numFmtId="0" fontId="4" fillId="18" borderId="14" xfId="0"/>
    <x:xf numFmtId="0" fontId="4" fillId="18" borderId="14" xfId="0" applyAlignment="1">
      <x:alignment wrapText="1"/>
    </x:xf>
    <x:xf numFmtId="0" fontId="4" fillId="18" borderId="14" xfId="0" applyAlignment="1">
      <x:alignment horizontal="center" wrapText="1"/>
    </x:xf>
    <x:xf numFmtId="3" fontId="5" fillId="17" borderId="8" xfId="0" applyAlignment="1">
      <x:alignment horizontal="right" vertical="center"/>
    </x:xf>
    <x:xf numFmtId="166" fontId="5" fillId="17" borderId="8" xfId="0" applyAlignment="1">
      <x:alignment horizontal="right" vertical="center"/>
    </x:xf>
    <x:xf numFmtId="164" fontId="5" fillId="17" borderId="8" xfId="0" applyAlignment="1">
      <x:alignment horizontal="right" vertical="center"/>
    </x:xf>
    <x:xf numFmtId="165" fontId="5" fillId="17" borderId="8" xfId="0" applyAlignment="1">
      <x:alignment horizontal="right" vertical="center"/>
    </x:xf>
    <x:xf numFmtId="164" fontId="5" fillId="17" borderId="9" xfId="0" applyAlignment="1">
      <x:alignment horizontal="center" vertical="center"/>
    </x:xf>
    <x:xf numFmtId="164" fontId="4" fillId="17" borderId="15" xfId="0"/>
    <x:xf numFmtId="165" fontId="0" fillId="17" borderId="0" xfId="0"/>
    <x:xf numFmtId="3" fontId="4" fillId="17" borderId="8" xfId="0" applyAlignment="1">
      <x:alignment horizontal="right" vertical="center"/>
    </x:xf>
    <x:xf numFmtId="166" fontId="4" fillId="17" borderId="8" xfId="0" applyAlignment="1">
      <x:alignment horizontal="right" vertical="center"/>
    </x:xf>
    <x:xf numFmtId="164" fontId="4" fillId="17" borderId="8" xfId="0" applyAlignment="1">
      <x:alignment horizontal="right" vertical="center"/>
    </x:xf>
    <x:xf numFmtId="165" fontId="4" fillId="17" borderId="8" xfId="0" applyAlignment="1">
      <x:alignment horizontal="right" vertical="center"/>
    </x:xf>
    <x:xf numFmtId="164" fontId="4" fillId="17" borderId="9" xfId="0" applyAlignment="1">
      <x:alignment horizontal="center" vertical="center"/>
    </x:xf>
    <x:xf numFmtId="165" fontId="4" fillId="17" borderId="0" xfId="0"/>
    <x:xf numFmtId="3" fontId="4" fillId="17" borderId="16" xfId="0" applyAlignment="1">
      <x:alignment horizontal="right" vertical="center"/>
    </x:xf>
    <x:xf numFmtId="166" fontId="4" fillId="17" borderId="2" xfId="0" applyAlignment="1">
      <x:alignment horizontal="right" vertical="center"/>
    </x:xf>
    <x:xf numFmtId="3" fontId="4" fillId="17" borderId="2" xfId="0" applyAlignment="1">
      <x:alignment horizontal="right" vertical="center"/>
    </x:xf>
    <x:xf numFmtId="164" fontId="4" fillId="17" borderId="2" xfId="0" applyAlignment="1">
      <x:alignment horizontal="right" vertical="center"/>
    </x:xf>
    <x:xf numFmtId="165" fontId="4" fillId="17" borderId="2" xfId="0" applyAlignment="1">
      <x:alignment horizontal="right" vertical="center"/>
    </x:xf>
    <x:xf numFmtId="164" fontId="4" fillId="17" borderId="17" xfId="0" applyAlignment="1">
      <x:alignment horizontal="center" vertical="center"/>
    </x:xf>
    <x:xf numFmtId="165" fontId="4" fillId="17" borderId="2" xfId="0"/>
    <x:xf numFmtId="0" fontId="4" fillId="17" borderId="18" xfId="0"/>
    <x:xf numFmtId="164" fontId="4" fillId="17" borderId="15" xfId="0" applyAlignment="1">
      <x:alignment vertical="center"/>
    </x:xf>
    <x:xf numFmtId="165" fontId="4" fillId="17" borderId="2" xfId="0" applyAlignment="1">
      <x:alignment vertical="center"/>
    </x:xf>
    <x:xf numFmtId="0" fontId="4" fillId="17" borderId="18" xfId="0" applyAlignment="1">
      <x:alignment vertical="center"/>
    </x:xf>
    <x:xf numFmtId="3" fontId="4" fillId="19" borderId="10" xfId="0" applyAlignment="1">
      <x:alignment horizontal="right" vertical="center"/>
    </x:xf>
    <x:xf numFmtId="166" fontId="4" fillId="19" borderId="10" xfId="0" applyAlignment="1">
      <x:alignment horizontal="right" vertical="center"/>
    </x:xf>
    <x:xf numFmtId="164" fontId="4" fillId="19" borderId="10" xfId="0" applyAlignment="1">
      <x:alignment horizontal="right" vertical="center"/>
    </x:xf>
    <x:xf numFmtId="165" fontId="4" fillId="19" borderId="10" xfId="0" applyAlignment="1">
      <x:alignment horizontal="right" vertical="center"/>
    </x:xf>
    <x:xf numFmtId="164" fontId="4" fillId="19" borderId="10" xfId="0" applyAlignment="1">
      <x:alignment horizontal="center" vertical="center"/>
    </x:xf>
    <x:xf numFmtId="164" fontId="4" fillId="19" borderId="15" xfId="0"/>
    <x:xf numFmtId="165" fontId="0" fillId="19" borderId="0" xfId="0"/>
    <x:xf numFmtId="0" fontId="0" fillId="19" borderId="0" xfId="0"/>
    <x:xf numFmtId="165" fontId="4" fillId="19" borderId="0" xfId="0"/>
    <x:xf numFmtId="0" fontId="4" fillId="19" borderId="0" xfId="0"/>
    <x:xf numFmtId="3" fontId="4" fillId="19" borderId="16" xfId="0" applyAlignment="1">
      <x:alignment horizontal="right" vertical="center"/>
    </x:xf>
    <x:xf numFmtId="166" fontId="4" fillId="19" borderId="2" xfId="0" applyAlignment="1">
      <x:alignment horizontal="right" vertical="center"/>
    </x:xf>
    <x:xf numFmtId="3" fontId="4" fillId="19" borderId="2" xfId="0" applyAlignment="1">
      <x:alignment horizontal="right" vertical="center"/>
    </x:xf>
    <x:xf numFmtId="164" fontId="4" fillId="19" borderId="2" xfId="0" applyAlignment="1">
      <x:alignment horizontal="right" vertical="center"/>
    </x:xf>
    <x:xf numFmtId="165" fontId="4" fillId="19" borderId="2" xfId="0" applyAlignment="1">
      <x:alignment horizontal="right" vertical="center"/>
    </x:xf>
    <x:xf numFmtId="164" fontId="4" fillId="19" borderId="2" xfId="0" applyAlignment="1">
      <x:alignment horizontal="center" vertical="center"/>
    </x:xf>
    <x:xf numFmtId="165" fontId="4" fillId="19" borderId="2" xfId="0"/>
    <x:xf numFmtId="0" fontId="4" fillId="19" borderId="18" xfId="0"/>
    <x:xf numFmtId="164" fontId="4" fillId="19" borderId="15" xfId="0" applyAlignment="1">
      <x:alignment vertical="center"/>
    </x:xf>
    <x:xf numFmtId="165" fontId="4" fillId="19" borderId="2" xfId="0" applyAlignment="1">
      <x:alignment vertical="center"/>
    </x:xf>
    <x:xf numFmtId="0" fontId="4" fillId="19" borderId="18" xfId="0" applyAlignment="1">
      <x:alignment vertical="center"/>
    </x:xf>
    <x:xf numFmtId="3" fontId="1" fillId="20" borderId="2" xfId="0" applyAlignment="1">
      <x:alignment horizontal="right" vertical="center"/>
    </x:xf>
    <x:xf numFmtId="166" fontId="1" fillId="20" borderId="2" xfId="0" applyAlignment="1">
      <x:alignment horizontal="right" vertical="center"/>
    </x:xf>
    <x:xf numFmtId="164" fontId="1" fillId="20" borderId="2" xfId="0" applyAlignment="1">
      <x:alignment horizontal="right" vertical="center"/>
    </x:xf>
    <x:xf numFmtId="165" fontId="1" fillId="20" borderId="2" xfId="0" applyAlignment="1">
      <x:alignment horizontal="right" vertical="center"/>
    </x:xf>
    <x:xf numFmtId="164" fontId="6" fillId="20" borderId="2" xfId="0" applyAlignment="1">
      <x:alignment horizontal="center" vertical="center"/>
    </x:xf>
    <x:xf numFmtId="164" fontId="7" fillId="20" borderId="15" xfId="0" applyAlignment="1">
      <x:alignment horizontal="center" vertical="center"/>
    </x:xf>
    <x:xf numFmtId="165" fontId="0" fillId="20" borderId="0" xfId="0"/>
    <x:xf numFmtId="0" fontId="0" fillId="20" borderId="0" xfId="0"/>
    <x:xf numFmtId="3" fontId="11" fillId="20" borderId="2" xfId="0" applyAlignment="1">
      <x:alignment horizontal="right" vertical="center"/>
    </x:xf>
    <x:xf numFmtId="166" fontId="11" fillId="20" borderId="2" xfId="0" applyAlignment="1">
      <x:alignment horizontal="right" vertical="center"/>
    </x:xf>
    <x:xf numFmtId="164" fontId="11" fillId="20" borderId="2" xfId="0" applyAlignment="1">
      <x:alignment horizontal="right" vertical="center"/>
    </x:xf>
    <x:xf numFmtId="165" fontId="11" fillId="20" borderId="2" xfId="0" applyAlignment="1">
      <x:alignment horizontal="right" vertical="center"/>
    </x:xf>
    <x:xf numFmtId="164" fontId="12" fillId="20" borderId="2" xfId="0" applyAlignment="1">
      <x:alignment horizontal="center" vertical="center"/>
    </x:xf>
    <x:xf numFmtId="164" fontId="12" fillId="20" borderId="15" xfId="0" applyAlignment="1">
      <x:alignment horizontal="center" vertical="center"/>
    </x:xf>
    <x:xf numFmtId="165" fontId="11" fillId="20" borderId="0" xfId="0"/>
    <x:xf numFmtId="0" fontId="11" fillId="20" borderId="0" xfId="0"/>
    <x:xf numFmtId="3" fontId="11" fillId="20" borderId="16" xfId="0" applyAlignment="1">
      <x:alignment horizontal="right" vertical="center"/>
    </x:xf>
    <x:xf numFmtId="165" fontId="11" fillId="20" borderId="2" xfId="0"/>
    <x:xf numFmtId="0" fontId="11" fillId="20" borderId="18" xfId="0"/>
    <x:xf numFmtId="164" fontId="12" fillId="20" borderId="2" xfId="0" applyAlignment="1">
      <x:alignment horizontal="right" vertical="center"/>
    </x:xf>
    <x:xf numFmtId="164" fontId="12" fillId="20" borderId="15" xfId="0" applyAlignment="1">
      <x:alignment horizontal="right" vertical="center"/>
    </x:xf>
    <x:xf numFmtId="165" fontId="11" fillId="20" borderId="2" xfId="0" applyAlignment="1">
      <x:alignment horizontal="right"/>
    </x:xf>
    <x:xf numFmtId="0" fontId="11" fillId="20" borderId="18" xfId="0" applyAlignment="1">
      <x:alignment horizontal="right"/>
    </x:xf>
    <x:xf numFmtId="0" fontId="11" fillId="20" borderId="18" xfId="0" applyAlignment="1">
      <x:alignment horizontal="right" vertical="center"/>
    </x:xf>
    <x:xf numFmtId="0" fontId="7" fillId="20" borderId="18" xfId="0" applyAlignment="1">
      <x:alignment horizontal="right" vertical="center"/>
    </x:xf>
    <x:xf numFmtId="0" fontId="7" fillId="20" borderId="15" xfId="0" applyAlignment="1">
      <x:alignment horizontal="right" vertical="center"/>
    </x:xf>
    <x:xf numFmtId="0" fontId="7" fillId="20" borderId="15" xfId="0" applyAlignment="1">
      <x:alignment horizontal="center" vertical="center"/>
    </x:xf>
    <x:xf numFmtId="164" fontId="10" fillId="20" borderId="15" xfId="0" applyAlignment="1">
      <x:alignment horizontal="center" vertical="center"/>
    </x:xf>
    <x:xf numFmtId="0" fontId="10" fillId="20" borderId="18" xfId="0" applyAlignment="1">
      <x:alignment horizontal="right" vertical="center"/>
    </x:xf>
    <x:xf numFmtId="0" fontId="10" fillId="20" borderId="15" xfId="0" applyAlignment="1">
      <x:alignment horizontal="right" vertical="center"/>
    </x:xf>
    <x:xf numFmtId="0" fontId="10" fillId="20" borderId="15" xfId="0" applyAlignment="1">
      <x:alignment horizontal="center" vertical="center"/>
    </x:xf>
    <x:xf numFmtId="3" fontId="9" fillId="20" borderId="2" xfId="0" applyAlignment="1">
      <x:alignment horizontal="right" vertical="center"/>
    </x:xf>
    <x:xf numFmtId="3" fontId="12" fillId="20" borderId="2" xfId="0" applyAlignment="1">
      <x:alignment horizontal="right" vertical="center"/>
    </x:xf>
    <x:xf numFmtId="3" fontId="12" fillId="20" borderId="16" xfId="0" applyAlignment="1">
      <x:alignment horizontal="right" vertical="center"/>
    </x:xf>
    <x:xf numFmtId="3" fontId="1" fillId="21" borderId="2" xfId="0" applyAlignment="1">
      <x:alignment horizontal="right" vertical="center"/>
    </x:xf>
    <x:xf numFmtId="166" fontId="1" fillId="21" borderId="2" xfId="0" applyAlignment="1">
      <x:alignment horizontal="right" vertical="center"/>
    </x:xf>
    <x:xf numFmtId="164" fontId="1" fillId="21" borderId="2" xfId="0" applyAlignment="1">
      <x:alignment horizontal="right" vertical="center"/>
    </x:xf>
    <x:xf numFmtId="165" fontId="1" fillId="21" borderId="2" xfId="0" applyAlignment="1">
      <x:alignment horizontal="right" vertical="center"/>
    </x:xf>
    <x:xf numFmtId="164" fontId="7" fillId="21" borderId="2" xfId="0" applyAlignment="1">
      <x:alignment horizontal="center" vertical="center"/>
    </x:xf>
    <x:xf numFmtId="164" fontId="7" fillId="21" borderId="15" xfId="0" applyAlignment="1">
      <x:alignment horizontal="center" vertical="center"/>
    </x:xf>
    <x:xf numFmtId="165" fontId="0" fillId="21" borderId="0" xfId="0"/>
    <x:xf numFmtId="0" fontId="0" fillId="21" borderId="0" xfId="0"/>
    <x:xf numFmtId="3" fontId="11" fillId="21" borderId="2" xfId="0" applyAlignment="1">
      <x:alignment horizontal="right" vertical="center"/>
    </x:xf>
    <x:xf numFmtId="166" fontId="11" fillId="21" borderId="2" xfId="0" applyAlignment="1">
      <x:alignment horizontal="right" vertical="center"/>
    </x:xf>
    <x:xf numFmtId="164" fontId="11" fillId="21" borderId="2" xfId="0" applyAlignment="1">
      <x:alignment horizontal="right" vertical="center"/>
    </x:xf>
    <x:xf numFmtId="165" fontId="11" fillId="21" borderId="2" xfId="0" applyAlignment="1">
      <x:alignment horizontal="right" vertical="center"/>
    </x:xf>
    <x:xf numFmtId="164" fontId="12" fillId="21" borderId="2" xfId="0" applyAlignment="1">
      <x:alignment horizontal="center" vertical="center"/>
    </x:xf>
    <x:xf numFmtId="164" fontId="12" fillId="21" borderId="15" xfId="0" applyAlignment="1">
      <x:alignment horizontal="center" vertical="center"/>
    </x:xf>
    <x:xf numFmtId="165" fontId="11" fillId="21" borderId="0" xfId="0"/>
    <x:xf numFmtId="0" fontId="11" fillId="21" borderId="0" xfId="0"/>
    <x:xf numFmtId="3" fontId="11" fillId="21" borderId="16" xfId="0" applyAlignment="1">
      <x:alignment horizontal="right" vertical="center"/>
    </x:xf>
    <x:xf numFmtId="165" fontId="11" fillId="21" borderId="2" xfId="0"/>
    <x:xf numFmtId="0" fontId="11" fillId="21" borderId="18" xfId="0"/>
    <x:xf numFmtId="164" fontId="12" fillId="21" borderId="2" xfId="0" applyAlignment="1">
      <x:alignment horizontal="right" vertical="center"/>
    </x:xf>
    <x:xf numFmtId="164" fontId="12" fillId="21" borderId="15" xfId="0" applyAlignment="1">
      <x:alignment horizontal="right" vertical="center"/>
    </x:xf>
    <x:xf numFmtId="165" fontId="11" fillId="21" borderId="2" xfId="0" applyAlignment="1">
      <x:alignment horizontal="right"/>
    </x:xf>
    <x:xf numFmtId="0" fontId="11" fillId="21" borderId="18" xfId="0" applyAlignment="1">
      <x:alignment horizontal="right"/>
    </x:xf>
    <x:xf numFmtId="0" fontId="11" fillId="21" borderId="18" xfId="0" applyAlignment="1">
      <x:alignment horizontal="right" vertical="center"/>
    </x:xf>
    <x:xf numFmtId="0" fontId="7" fillId="21" borderId="18" xfId="0" applyAlignment="1">
      <x:alignment horizontal="right" vertical="center"/>
    </x:xf>
    <x:xf numFmtId="0" fontId="7" fillId="21" borderId="15" xfId="0" applyAlignment="1">
      <x:alignment horizontal="right" vertical="center"/>
    </x:xf>
    <x:xf numFmtId="0" fontId="7" fillId="21" borderId="15" xfId="0" applyAlignment="1">
      <x:alignment horizontal="center" vertical="center"/>
    </x:xf>
    <x:xf numFmtId="164" fontId="6" fillId="21" borderId="2" xfId="0" applyAlignment="1">
      <x:alignment horizontal="center" vertical="center"/>
    </x:xf>
    <x:xf numFmtId="164" fontId="10" fillId="21" borderId="15" xfId="0" applyAlignment="1">
      <x:alignment horizontal="center" vertical="center"/>
    </x:xf>
    <x:xf numFmtId="0" fontId="10" fillId="21" borderId="18" xfId="0" applyAlignment="1">
      <x:alignment horizontal="right" vertical="center"/>
    </x:xf>
    <x:xf numFmtId="0" fontId="10" fillId="21" borderId="15" xfId="0" applyAlignment="1">
      <x:alignment horizontal="right" vertical="center"/>
    </x:xf>
    <x:xf numFmtId="0" fontId="10" fillId="21" borderId="15" xfId="0" applyAlignment="1">
      <x:alignment horizontal="center" vertical="center"/>
    </x:xf>
    <x:xf numFmtId="3" fontId="9" fillId="21" borderId="2" xfId="0" applyAlignment="1">
      <x:alignment horizontal="right" vertical="center"/>
    </x:xf>
    <x:xf numFmtId="3" fontId="12" fillId="21" borderId="2" xfId="0" applyAlignment="1">
      <x:alignment horizontal="right" vertical="center"/>
    </x:xf>
    <x:xf numFmtId="3" fontId="12" fillId="21" borderId="16" xfId="0" applyAlignment="1">
      <x:alignment horizontal="right" vertical="center"/>
    </x:xf>
    <x:xf numFmtId="3" fontId="1" fillId="22" borderId="2" xfId="0" applyAlignment="1">
      <x:alignment horizontal="right" vertical="center"/>
    </x:xf>
    <x:xf numFmtId="166" fontId="1" fillId="22" borderId="2" xfId="0" applyAlignment="1">
      <x:alignment horizontal="right" vertical="center"/>
    </x:xf>
    <x:xf numFmtId="164" fontId="1" fillId="22" borderId="2" xfId="0" applyAlignment="1">
      <x:alignment horizontal="right" vertical="center"/>
    </x:xf>
    <x:xf numFmtId="165" fontId="1" fillId="22" borderId="2" xfId="0" applyAlignment="1">
      <x:alignment horizontal="right" vertical="center"/>
    </x:xf>
    <x:xf numFmtId="164" fontId="7" fillId="22" borderId="2" xfId="0" applyAlignment="1">
      <x:alignment horizontal="center" vertical="center"/>
    </x:xf>
    <x:xf numFmtId="164" fontId="7" fillId="22" borderId="15" xfId="0" applyAlignment="1">
      <x:alignment horizontal="center" vertical="center"/>
    </x:xf>
    <x:xf numFmtId="165" fontId="0" fillId="22" borderId="0" xfId="0"/>
    <x:xf numFmtId="0" fontId="0" fillId="22" borderId="0" xfId="0"/>
    <x:xf numFmtId="3" fontId="11" fillId="22" borderId="2" xfId="0" applyAlignment="1">
      <x:alignment horizontal="right" vertical="center"/>
    </x:xf>
    <x:xf numFmtId="166" fontId="11" fillId="22" borderId="2" xfId="0" applyAlignment="1">
      <x:alignment horizontal="right" vertical="center"/>
    </x:xf>
    <x:xf numFmtId="164" fontId="11" fillId="22" borderId="2" xfId="0" applyAlignment="1">
      <x:alignment horizontal="right" vertical="center"/>
    </x:xf>
    <x:xf numFmtId="165" fontId="11" fillId="22" borderId="2" xfId="0" applyAlignment="1">
      <x:alignment horizontal="right" vertical="center"/>
    </x:xf>
    <x:xf numFmtId="164" fontId="12" fillId="22" borderId="2" xfId="0" applyAlignment="1">
      <x:alignment horizontal="center" vertical="center"/>
    </x:xf>
    <x:xf numFmtId="164" fontId="12" fillId="22" borderId="15" xfId="0" applyAlignment="1">
      <x:alignment horizontal="center" vertical="center"/>
    </x:xf>
    <x:xf numFmtId="165" fontId="11" fillId="22" borderId="0" xfId="0"/>
    <x:xf numFmtId="0" fontId="11" fillId="22" borderId="0" xfId="0"/>
    <x:xf numFmtId="3" fontId="11" fillId="22" borderId="16" xfId="0" applyAlignment="1">
      <x:alignment horizontal="right" vertical="center"/>
    </x:xf>
    <x:xf numFmtId="165" fontId="11" fillId="22" borderId="2" xfId="0"/>
    <x:xf numFmtId="0" fontId="11" fillId="22" borderId="18" xfId="0"/>
    <x:xf numFmtId="164" fontId="12" fillId="22" borderId="2" xfId="0" applyAlignment="1">
      <x:alignment horizontal="right" vertical="center"/>
    </x:xf>
    <x:xf numFmtId="164" fontId="12" fillId="22" borderId="15" xfId="0" applyAlignment="1">
      <x:alignment horizontal="right" vertical="center"/>
    </x:xf>
    <x:xf numFmtId="165" fontId="11" fillId="22" borderId="2" xfId="0" applyAlignment="1">
      <x:alignment horizontal="right"/>
    </x:xf>
    <x:xf numFmtId="0" fontId="11" fillId="22" borderId="18" xfId="0" applyAlignment="1">
      <x:alignment horizontal="right"/>
    </x:xf>
    <x:xf numFmtId="0" fontId="11" fillId="22" borderId="18" xfId="0" applyAlignment="1">
      <x:alignment horizontal="right" vertical="center"/>
    </x:xf>
    <x:xf numFmtId="0" fontId="7" fillId="22" borderId="18" xfId="0" applyAlignment="1">
      <x:alignment horizontal="right" vertical="center"/>
    </x:xf>
    <x:xf numFmtId="0" fontId="7" fillId="22" borderId="15" xfId="0" applyAlignment="1">
      <x:alignment horizontal="right" vertical="center"/>
    </x:xf>
    <x:xf numFmtId="0" fontId="7" fillId="22" borderId="15" xfId="0" applyAlignment="1">
      <x:alignment horizontal="center" vertical="center"/>
    </x:xf>
    <x:xf numFmtId="164" fontId="6" fillId="22" borderId="2" xfId="0" applyAlignment="1">
      <x:alignment horizontal="center" vertical="center"/>
    </x:xf>
    <x:xf numFmtId="164" fontId="10" fillId="22" borderId="15" xfId="0" applyAlignment="1">
      <x:alignment horizontal="center" vertical="center"/>
    </x:xf>
    <x:xf numFmtId="0" fontId="10" fillId="22" borderId="18" xfId="0" applyAlignment="1">
      <x:alignment horizontal="right" vertical="center"/>
    </x:xf>
    <x:xf numFmtId="0" fontId="10" fillId="22" borderId="15" xfId="0" applyAlignment="1">
      <x:alignment horizontal="right" vertical="center"/>
    </x:xf>
    <x:xf numFmtId="0" fontId="10" fillId="22" borderId="15" xfId="0" applyAlignment="1">
      <x:alignment horizontal="center" vertical="center"/>
    </x:xf>
    <x:xf numFmtId="3" fontId="9" fillId="22" borderId="2" xfId="0" applyAlignment="1">
      <x:alignment horizontal="right" vertical="center"/>
    </x:xf>
    <x:xf numFmtId="3" fontId="12" fillId="22" borderId="2" xfId="0" applyAlignment="1">
      <x:alignment horizontal="right" vertical="center"/>
    </x:xf>
    <x:xf numFmtId="3" fontId="12" fillId="22" borderId="16" xfId="0" applyAlignment="1">
      <x:alignment horizontal="right" vertical="center"/>
    </x:xf>
    <x:xf numFmtId="3" fontId="1" fillId="23" borderId="2" xfId="0" applyAlignment="1">
      <x:alignment horizontal="right" vertical="center"/>
    </x:xf>
    <x:xf numFmtId="166" fontId="1" fillId="23" borderId="2" xfId="0" applyAlignment="1">
      <x:alignment horizontal="right" vertical="center"/>
    </x:xf>
    <x:xf numFmtId="164" fontId="1" fillId="23" borderId="2" xfId="0" applyAlignment="1">
      <x:alignment horizontal="right" vertical="center"/>
    </x:xf>
    <x:xf numFmtId="165" fontId="1" fillId="23" borderId="2" xfId="0" applyAlignment="1">
      <x:alignment horizontal="right" vertical="center"/>
    </x:xf>
    <x:xf numFmtId="164" fontId="6" fillId="23" borderId="2" xfId="0" applyAlignment="1">
      <x:alignment horizontal="center" vertical="center"/>
    </x:xf>
    <x:xf numFmtId="164" fontId="10" fillId="23" borderId="15" xfId="0" applyAlignment="1">
      <x:alignment horizontal="center" vertical="center"/>
    </x:xf>
    <x:xf numFmtId="165" fontId="0" fillId="23" borderId="0" xfId="0"/>
    <x:xf numFmtId="0" fontId="0" fillId="23" borderId="0" xfId="0"/>
    <x:xf numFmtId="3" fontId="11" fillId="23" borderId="2" xfId="0" applyAlignment="1">
      <x:alignment horizontal="right" vertical="center"/>
    </x:xf>
    <x:xf numFmtId="166" fontId="11" fillId="23" borderId="2" xfId="0" applyAlignment="1">
      <x:alignment horizontal="right" vertical="center"/>
    </x:xf>
    <x:xf numFmtId="164" fontId="11" fillId="23" borderId="2" xfId="0" applyAlignment="1">
      <x:alignment horizontal="right" vertical="center"/>
    </x:xf>
    <x:xf numFmtId="165" fontId="11" fillId="23" borderId="2" xfId="0" applyAlignment="1">
      <x:alignment horizontal="right" vertical="center"/>
    </x:xf>
    <x:xf numFmtId="164" fontId="12" fillId="23" borderId="2" xfId="0" applyAlignment="1">
      <x:alignment horizontal="center" vertical="center"/>
    </x:xf>
    <x:xf numFmtId="164" fontId="12" fillId="23" borderId="15" xfId="0" applyAlignment="1">
      <x:alignment horizontal="center" vertical="center"/>
    </x:xf>
    <x:xf numFmtId="165" fontId="11" fillId="23" borderId="0" xfId="0"/>
    <x:xf numFmtId="0" fontId="11" fillId="23" borderId="0" xfId="0"/>
    <x:xf numFmtId="3" fontId="11" fillId="23" borderId="16" xfId="0" applyAlignment="1">
      <x:alignment horizontal="right" vertical="center"/>
    </x:xf>
    <x:xf numFmtId="165" fontId="11" fillId="23" borderId="2" xfId="0"/>
    <x:xf numFmtId="0" fontId="11" fillId="23" borderId="18" xfId="0"/>
    <x:xf numFmtId="164" fontId="12" fillId="23" borderId="2" xfId="0" applyAlignment="1">
      <x:alignment horizontal="right" vertical="center"/>
    </x:xf>
    <x:xf numFmtId="164" fontId="12" fillId="23" borderId="15" xfId="0" applyAlignment="1">
      <x:alignment horizontal="right" vertical="center"/>
    </x:xf>
    <x:xf numFmtId="165" fontId="11" fillId="23" borderId="2" xfId="0" applyAlignment="1">
      <x:alignment horizontal="right"/>
    </x:xf>
    <x:xf numFmtId="0" fontId="11" fillId="23" borderId="18" xfId="0" applyAlignment="1">
      <x:alignment horizontal="right"/>
    </x:xf>
    <x:xf numFmtId="0" fontId="11" fillId="23" borderId="18" xfId="0" applyAlignment="1">
      <x:alignment horizontal="right" vertical="center"/>
    </x:xf>
    <x:xf numFmtId="0" fontId="10" fillId="23" borderId="18" xfId="0" applyAlignment="1">
      <x:alignment horizontal="right" vertical="center"/>
    </x:xf>
    <x:xf numFmtId="0" fontId="10" fillId="23" borderId="15" xfId="0" applyAlignment="1">
      <x:alignment horizontal="right" vertical="center"/>
    </x:xf>
    <x:xf numFmtId="0" fontId="10" fillId="23" borderId="15" xfId="0" applyAlignment="1">
      <x:alignment horizontal="center" vertical="center"/>
    </x:xf>
    <x:xf numFmtId="3" fontId="9" fillId="23" borderId="2" xfId="0" applyAlignment="1">
      <x:alignment horizontal="right" vertical="center"/>
    </x:xf>
    <x:xf numFmtId="3" fontId="12" fillId="23" borderId="2" xfId="0" applyAlignment="1">
      <x:alignment horizontal="right" vertical="center"/>
    </x:xf>
    <x:xf numFmtId="3" fontId="12" fillId="23" borderId="16" xfId="0" applyAlignment="1">
      <x:alignment horizontal="right" vertical="center"/>
    </x:xf>
    <x:xf numFmtId="164" fontId="7" fillId="23" borderId="2" xfId="0" applyAlignment="1">
      <x:alignment horizontal="center" vertical="center"/>
    </x:xf>
    <x:xf numFmtId="164" fontId="7" fillId="23" borderId="15" xfId="0" applyAlignment="1">
      <x:alignment horizontal="center" vertical="center"/>
    </x:xf>
    <x:xf numFmtId="0" fontId="7" fillId="23" borderId="18" xfId="0" applyAlignment="1">
      <x:alignment horizontal="right" vertical="center"/>
    </x:xf>
    <x:xf numFmtId="0" fontId="7" fillId="23" borderId="15" xfId="0" applyAlignment="1">
      <x:alignment horizontal="right" vertical="center"/>
    </x:xf>
    <x:xf numFmtId="0" fontId="7" fillId="23" borderId="15" xfId="0" applyAlignment="1">
      <x:alignment horizontal="center" vertical="center"/>
    </x:xf>
    <x:xf numFmtId="164" fontId="7" fillId="20" borderId="2" xfId="0" applyAlignment="1">
      <x:alignment horizontal="center" vertical="center"/>
    </x:xf>
    <x:xf numFmtId="164" fontId="8" fillId="21" borderId="2" xfId="0" applyAlignment="1">
      <x:alignment horizontal="center" vertical="center"/>
    </x:xf>
    <x:xf numFmtId="164" fontId="8" fillId="22" borderId="2" xfId="0" applyAlignment="1">
      <x:alignment horizontal="center" vertical="center"/>
    </x:xf>
    <x:xf numFmtId="164" fontId="8" fillId="23" borderId="2" xfId="0" applyAlignment="1">
      <x:alignment horizontal="center" vertical="center"/>
    </x:xf>
    <x:xf numFmtId="164" fontId="8" fillId="20" borderId="2" xfId="0" applyAlignment="1">
      <x:alignment horizontal="center" vertical="center"/>
    </x:xf>
    <x:xf numFmtId="164" fontId="11" fillId="24" borderId="2" xfId="0" applyAlignment="1">
      <x:alignment horizontal="right" vertical="center"/>
    </x:xf>
    <x:xf numFmtId="164" fontId="9" fillId="24" borderId="2" xfId="0" applyAlignment="1">
      <x:alignment horizontal="right" vertical="center"/>
    </x:xf>
    <x:xf numFmtId="164" fontId="9" fillId="24" borderId="15" xfId="0" applyAlignment="1">
      <x:alignment horizontal="right" vertical="center"/>
    </x:xf>
    <x:xf numFmtId="3" fontId="4" fillId="2" borderId="16" xfId="0" applyAlignment="1">
      <x:alignment horizontal="right" vertical="center"/>
    </x:xf>
    <x:xf numFmtId="3" fontId="4" fillId="8" borderId="16" xfId="0" applyAlignment="1">
      <x:alignment horizontal="right" vertical="center"/>
    </x:xf>
    <x:xf numFmtId="3" fontId="11" fillId="4" borderId="16" xfId="0" applyAlignment="1">
      <x:alignment horizontal="right" vertical="center"/>
    </x:xf>
    <x:xf numFmtId="3" fontId="12" fillId="4" borderId="16" xfId="0" applyAlignment="1">
      <x:alignment horizontal="right" vertical="center"/>
    </x:xf>
    <x:xf numFmtId="3" fontId="11" fillId="5" borderId="16" xfId="0" applyAlignment="1">
      <x:alignment horizontal="right" vertical="center"/>
    </x:xf>
    <x:xf numFmtId="3" fontId="12" fillId="5" borderId="16" xfId="0" applyAlignment="1">
      <x:alignment horizontal="right" vertical="center"/>
    </x:xf>
    <x:xf numFmtId="3" fontId="11" fillId="6" borderId="16" xfId="0" applyAlignment="1">
      <x:alignment horizontal="right" vertical="center"/>
    </x:xf>
    <x:xf numFmtId="3" fontId="12" fillId="6" borderId="16" xfId="0" applyAlignment="1">
      <x:alignment horizontal="right" vertical="center"/>
    </x:xf>
    <x:xf numFmtId="3" fontId="11" fillId="7" borderId="16" xfId="0" applyAlignment="1">
      <x:alignment horizontal="right" vertical="center"/>
    </x:xf>
    <x:xf numFmtId="3" fontId="12" fillId="7" borderId="16" xfId="0" applyAlignment="1">
      <x:alignment horizontal="right" vertical="center"/>
    </x:xf>
    <x:xf numFmtId="164" fontId="4" fillId="2" borderId="2" xfId="0" applyAlignment="1">
      <x:alignment horizontal="right" vertical="center"/>
    </x:xf>
    <x:xf numFmtId="164" fontId="4" fillId="8" borderId="2" xfId="0" applyAlignment="1">
      <x:alignment horizontal="right" vertical="center"/>
    </x:xf>
    <x:xf numFmtId="164" fontId="11" fillId="4" borderId="2" xfId="0" applyAlignment="1">
      <x:alignment horizontal="right" vertical="center"/>
    </x:xf>
    <x:xf numFmtId="164" fontId="11" fillId="5" borderId="2" xfId="0" applyAlignment="1">
      <x:alignment horizontal="right" vertical="center"/>
    </x:xf>
    <x:xf numFmtId="164" fontId="11" fillId="6" borderId="2" xfId="0" applyAlignment="1">
      <x:alignment horizontal="right" vertical="center"/>
    </x:xf>
    <x:xf numFmtId="164" fontId="11" fillId="7" borderId="2" xfId="0" applyAlignment="1">
      <x:alignment horizontal="right" vertical="center"/>
    </x:xf>
    <x:xf numFmtId="3" fontId="4" fillId="2" borderId="2" xfId="0" applyAlignment="1">
      <x:alignment horizontal="right" vertical="center"/>
    </x:xf>
    <x:xf numFmtId="3" fontId="4" fillId="8" borderId="2" xfId="0" applyAlignment="1">
      <x:alignment horizontal="right" vertical="center"/>
    </x:xf>
    <x:xf numFmtId="3" fontId="11" fillId="4" borderId="2" xfId="0" applyAlignment="1">
      <x:alignment horizontal="right" vertical="center"/>
    </x:xf>
    <x:xf numFmtId="3" fontId="11" fillId="5" borderId="2" xfId="0" applyAlignment="1">
      <x:alignment horizontal="right" vertical="center"/>
    </x:xf>
    <x:xf numFmtId="3" fontId="11" fillId="6" borderId="2" xfId="0" applyAlignment="1">
      <x:alignment horizontal="right" vertical="center"/>
    </x:xf>
    <x:xf numFmtId="3" fontId="11" fillId="7" borderId="2" xfId="0" applyAlignment="1">
      <x:alignment horizontal="right" vertical="center"/>
    </x:xf>
    <x:xf numFmtId="166" fontId="4" fillId="2" borderId="2" xfId="0" applyAlignment="1">
      <x:alignment horizontal="right" vertical="center"/>
    </x:xf>
    <x:xf numFmtId="166" fontId="4" fillId="8" borderId="2" xfId="0" applyAlignment="1">
      <x:alignment horizontal="right" vertical="center"/>
    </x:xf>
    <x:xf numFmtId="166" fontId="11" fillId="4" borderId="2" xfId="0" applyAlignment="1">
      <x:alignment horizontal="right" vertical="center"/>
    </x:xf>
    <x:xf numFmtId="166" fontId="9" fillId="9" borderId="15" xfId="0" applyAlignment="1">
      <x:alignment horizontal="right" vertical="center"/>
    </x:xf>
    <x:xf numFmtId="166" fontId="11" fillId="5" borderId="2" xfId="0" applyAlignment="1">
      <x:alignment horizontal="right" vertical="center"/>
    </x:xf>
    <x:xf numFmtId="166" fontId="11" fillId="6" borderId="2" xfId="0" applyAlignment="1">
      <x:alignment horizontal="right" vertical="center"/>
    </x:xf>
    <x:xf numFmtId="166" fontId="11" fillId="7" borderId="2" xfId="0" applyAlignment="1">
      <x:alignment horizontal="right" vertical="center"/>
    </x:xf>
    <x:xf numFmtId="0" fontId="4" fillId="25" borderId="4" xfId="0" applyAlignment="1">
      <x:alignment horizontal="center" vertical="center"/>
    </x:xf>
    <x:xf numFmtId="0" fontId="4" fillId="25" borderId="5" xfId="0" applyAlignment="1">
      <x:alignment horizontal="center" vertical="center"/>
    </x:xf>
    <x:xf numFmtId="0" fontId="4" fillId="25" borderId="6" xfId="0" applyAlignment="1">
      <x:alignment horizontal="center" vertical="center"/>
    </x:xf>
    <x:xf numFmtId="0" fontId="4" fillId="26" borderId="14" xfId="0" applyAlignment="1">
      <x:alignment horizontal="center" vertical="center" wrapText="1"/>
    </x:xf>
    <x:xf numFmtId="3" fontId="4" fillId="25" borderId="16" xfId="0" applyAlignment="1">
      <x:alignment horizontal="right" vertical="center"/>
    </x:xf>
    <x:xf numFmtId="164" fontId="4" fillId="25" borderId="2" xfId="0" applyAlignment="1">
      <x:alignment horizontal="right" vertical="center"/>
    </x:xf>
    <x:xf numFmtId="3" fontId="4" fillId="25" borderId="2" xfId="0" applyAlignment="1">
      <x:alignment horizontal="right" vertical="center"/>
    </x:xf>
    <x:xf numFmtId="166" fontId="4" fillId="25" borderId="2" xfId="0" applyAlignment="1">
      <x:alignment horizontal="right" vertical="center"/>
    </x:xf>
    <x:xf numFmtId="166" fontId="4" fillId="25" borderId="18" xfId="0" applyAlignment="1">
      <x:alignment horizontal="right" vertical="center"/>
    </x:xf>
    <x:xf numFmtId="3" fontId="4" fillId="27" borderId="16" xfId="0" applyAlignment="1">
      <x:alignment horizontal="right" vertical="center"/>
    </x:xf>
    <x:xf numFmtId="164" fontId="4" fillId="27" borderId="2" xfId="0" applyAlignment="1">
      <x:alignment horizontal="right" vertical="center"/>
    </x:xf>
    <x:xf numFmtId="3" fontId="4" fillId="27" borderId="2" xfId="0" applyAlignment="1">
      <x:alignment horizontal="right" vertical="center"/>
    </x:xf>
    <x:xf numFmtId="166" fontId="4" fillId="27" borderId="2" xfId="0" applyAlignment="1">
      <x:alignment horizontal="right" vertical="center"/>
    </x:xf>
    <x:xf numFmtId="166" fontId="4" fillId="27" borderId="18" xfId="0" applyAlignment="1">
      <x:alignment horizontal="right" vertical="center"/>
    </x:xf>
    <x:xf numFmtId="3" fontId="11" fillId="28" borderId="16" xfId="0" applyAlignment="1">
      <x:alignment horizontal="right" vertical="center"/>
    </x:xf>
    <x:xf numFmtId="164" fontId="11" fillId="28" borderId="2" xfId="0" applyAlignment="1">
      <x:alignment horizontal="right" vertical="center"/>
    </x:xf>
    <x:xf numFmtId="3" fontId="11" fillId="28" borderId="2" xfId="0" applyAlignment="1">
      <x:alignment horizontal="right" vertical="center"/>
    </x:xf>
    <x:xf numFmtId="166" fontId="11" fillId="28" borderId="2" xfId="0" applyAlignment="1">
      <x:alignment horizontal="right" vertical="center"/>
    </x:xf>
    <x:xf numFmtId="166" fontId="11" fillId="28" borderId="18" xfId="0" applyAlignment="1">
      <x:alignment horizontal="right" vertical="center"/>
    </x:xf>
    <x:xf numFmtId="166" fontId="9" fillId="28" borderId="15" xfId="0" applyAlignment="1">
      <x:alignment horizontal="right" vertical="center"/>
    </x:xf>
    <x:xf numFmtId="166" fontId="12" fillId="28" borderId="15" xfId="0" applyAlignment="1">
      <x:alignment horizontal="right" vertical="center"/>
    </x:xf>
    <x:xf numFmtId="3" fontId="12" fillId="28" borderId="16" xfId="0" applyAlignment="1">
      <x:alignment horizontal="right" vertical="center"/>
    </x:xf>
    <x:xf numFmtId="3" fontId="11" fillId="29" borderId="16" xfId="0" applyAlignment="1">
      <x:alignment horizontal="right" vertical="center"/>
    </x:xf>
    <x:xf numFmtId="164" fontId="11" fillId="29" borderId="2" xfId="0" applyAlignment="1">
      <x:alignment horizontal="right" vertical="center"/>
    </x:xf>
    <x:xf numFmtId="3" fontId="11" fillId="29" borderId="2" xfId="0" applyAlignment="1">
      <x:alignment horizontal="right" vertical="center"/>
    </x:xf>
    <x:xf numFmtId="166" fontId="11" fillId="29" borderId="2" xfId="0" applyAlignment="1">
      <x:alignment horizontal="right" vertical="center"/>
    </x:xf>
    <x:xf numFmtId="166" fontId="11" fillId="29" borderId="18" xfId="0" applyAlignment="1">
      <x:alignment horizontal="right" vertical="center"/>
    </x:xf>
    <x:xf numFmtId="3" fontId="12" fillId="29" borderId="16" xfId="0" applyAlignment="1">
      <x:alignment horizontal="right" vertical="center"/>
    </x:xf>
    <x:xf numFmtId="166" fontId="9" fillId="29" borderId="15" xfId="0" applyAlignment="1">
      <x:alignment horizontal="right" vertical="center"/>
    </x:xf>
    <x:xf numFmtId="166" fontId="12" fillId="29" borderId="15" xfId="0" applyAlignment="1">
      <x:alignment horizontal="right" vertical="center"/>
    </x:xf>
    <x:xf numFmtId="3" fontId="11" fillId="30" borderId="16" xfId="0" applyAlignment="1">
      <x:alignment horizontal="right" vertical="center"/>
    </x:xf>
    <x:xf numFmtId="164" fontId="11" fillId="30" borderId="2" xfId="0" applyAlignment="1">
      <x:alignment horizontal="right" vertical="center"/>
    </x:xf>
    <x:xf numFmtId="3" fontId="11" fillId="30" borderId="2" xfId="0" applyAlignment="1">
      <x:alignment horizontal="right" vertical="center"/>
    </x:xf>
    <x:xf numFmtId="166" fontId="11" fillId="30" borderId="2" xfId="0" applyAlignment="1">
      <x:alignment horizontal="right" vertical="center"/>
    </x:xf>
    <x:xf numFmtId="166" fontId="11" fillId="30" borderId="18" xfId="0" applyAlignment="1">
      <x:alignment horizontal="right" vertical="center"/>
    </x:xf>
    <x:xf numFmtId="3" fontId="12" fillId="30" borderId="16" xfId="0" applyAlignment="1">
      <x:alignment horizontal="right" vertical="center"/>
    </x:xf>
    <x:xf numFmtId="166" fontId="9" fillId="30" borderId="15" xfId="0" applyAlignment="1">
      <x:alignment horizontal="right" vertical="center"/>
    </x:xf>
    <x:xf numFmtId="166" fontId="12" fillId="30" borderId="15" xfId="0" applyAlignment="1">
      <x:alignment horizontal="right" vertical="center"/>
    </x:xf>
    <x:xf numFmtId="3" fontId="11" fillId="31" borderId="16" xfId="0" applyAlignment="1">
      <x:alignment horizontal="right" vertical="center"/>
    </x:xf>
    <x:xf numFmtId="164" fontId="11" fillId="31" borderId="2" xfId="0" applyAlignment="1">
      <x:alignment horizontal="right" vertical="center"/>
    </x:xf>
    <x:xf numFmtId="3" fontId="11" fillId="31" borderId="2" xfId="0" applyAlignment="1">
      <x:alignment horizontal="right" vertical="center"/>
    </x:xf>
    <x:xf numFmtId="166" fontId="11" fillId="31" borderId="2" xfId="0" applyAlignment="1">
      <x:alignment horizontal="right" vertical="center"/>
    </x:xf>
    <x:xf numFmtId="166" fontId="11" fillId="31" borderId="18" xfId="0" applyAlignment="1">
      <x:alignment horizontal="right" vertical="center"/>
    </x:xf>
    <x:xf numFmtId="3" fontId="12" fillId="31" borderId="16" xfId="0" applyAlignment="1">
      <x:alignment horizontal="right" vertical="center"/>
    </x:xf>
    <x:xf numFmtId="166" fontId="9" fillId="31" borderId="15" xfId="0" applyAlignment="1">
      <x:alignment horizontal="right" vertical="center"/>
    </x:xf>
    <x:xf numFmtId="166" fontId="12" fillId="31" borderId="15" xfId="0" applyAlignment="1">
      <x:alignment horizontal="right" vertical="center"/>
    </x:xf>
    <x:xf numFmtId="164" fontId="11" fillId="32" borderId="2" xfId="0" applyAlignment="1">
      <x:alignment horizontal="right" vertical="center"/>
    </x:xf>
    <x:xf numFmtId="164" fontId="9" fillId="32" borderId="2" xfId="0" applyAlignment="1">
      <x:alignment horizontal="right" vertical="center"/>
    </x:xf>
    <x:xf numFmtId="164" fontId="9" fillId="32" borderId="15" xfId="0" applyAlignment="1">
      <x:alignment horizontal="right" vertical="center"/>
    </x:xf>
    <x:xf numFmtId="166" fontId="4" fillId="2" borderId="18" xfId="0" applyAlignment="1">
      <x:alignment horizontal="right" vertical="center"/>
    </x:xf>
    <x:xf numFmtId="166" fontId="4" fillId="8" borderId="18" xfId="0" applyAlignment="1">
      <x:alignment horizontal="right" vertical="center"/>
    </x:xf>
    <x:xf numFmtId="166" fontId="11" fillId="4" borderId="18" xfId="0" applyAlignment="1">
      <x:alignment horizontal="right" vertical="center"/>
    </x:xf>
    <x:xf numFmtId="166" fontId="12" fillId="4" borderId="15" xfId="0" applyAlignment="1">
      <x:alignment horizontal="right" vertical="center"/>
    </x:xf>
    <x:xf numFmtId="166" fontId="11" fillId="5" borderId="18" xfId="0" applyAlignment="1">
      <x:alignment horizontal="right" vertical="center"/>
    </x:xf>
    <x:xf numFmtId="166" fontId="12" fillId="5" borderId="15" xfId="0" applyAlignment="1">
      <x:alignment horizontal="right" vertical="center"/>
    </x:xf>
    <x:xf numFmtId="166" fontId="11" fillId="6" borderId="18" xfId="0" applyAlignment="1">
      <x:alignment horizontal="right" vertical="center"/>
    </x:xf>
    <x:xf numFmtId="166" fontId="12" fillId="6" borderId="15" xfId="0" applyAlignment="1">
      <x:alignment horizontal="right" vertical="center"/>
    </x:xf>
    <x:xf numFmtId="166" fontId="11" fillId="7" borderId="18" xfId="0" applyAlignment="1">
      <x:alignment horizontal="right" vertical="center"/>
    </x:xf>
    <x:xf numFmtId="166" fontId="12" fillId="7" borderId="15" xfId="0" applyAlignment="1">
      <x:alignment horizontal="right" vertical="center"/>
    </x:xf>
    <x:xf numFmtId="165" fontId="4" fillId="2" borderId="2" xfId="0" applyAlignment="1">
      <x:alignment horizontal="right" vertical="center"/>
    </x:xf>
    <x:xf numFmtId="165" fontId="4" fillId="8" borderId="2" xfId="0" applyAlignment="1">
      <x:alignment horizontal="right" vertical="center"/>
    </x:xf>
    <x:xf numFmtId="165" fontId="11" fillId="4" borderId="2" xfId="0" applyAlignment="1">
      <x:alignment horizontal="right" vertical="center"/>
    </x:xf>
    <x:xf numFmtId="165" fontId="11" fillId="5" borderId="2" xfId="0" applyAlignment="1">
      <x:alignment horizontal="right" vertical="center"/>
    </x:xf>
    <x:xf numFmtId="165" fontId="11" fillId="6" borderId="2" xfId="0" applyAlignment="1">
      <x:alignment horizontal="right" vertical="center"/>
    </x:xf>
    <x:xf numFmtId="165" fontId="11" fillId="7" borderId="2" xfId="0" applyAlignment="1">
      <x:alignment horizontal="right" vertical="center"/>
    </x:xf>
    <x:xf numFmtId="164" fontId="4" fillId="2" borderId="17" xfId="0" applyAlignment="1">
      <x:alignment horizontal="center" vertical="center"/>
    </x:xf>
    <x:xf numFmtId="164" fontId="4" fillId="2" borderId="15" xfId="0" applyAlignment="1">
      <x:alignment vertical="center"/>
    </x:xf>
    <x:xf numFmtId="164" fontId="4" fillId="8" borderId="2" xfId="0" applyAlignment="1">
      <x:alignment horizontal="center" vertical="center"/>
    </x:xf>
    <x:xf numFmtId="164" fontId="4" fillId="8" borderId="15" xfId="0" applyAlignment="1">
      <x:alignment vertical="center"/>
    </x:xf>
    <x:xf numFmtId="164" fontId="12" fillId="4" borderId="2" xfId="0" applyAlignment="1">
      <x:alignment horizontal="right" vertical="center"/>
    </x:xf>
    <x:xf numFmtId="164" fontId="12" fillId="4" borderId="15" xfId="0" applyAlignment="1">
      <x:alignment horizontal="right" vertical="center"/>
    </x:xf>
    <x:xf numFmtId="164" fontId="12" fillId="5" borderId="2" xfId="0" applyAlignment="1">
      <x:alignment horizontal="right" vertical="center"/>
    </x:xf>
    <x:xf numFmtId="164" fontId="12" fillId="5" borderId="15" xfId="0" applyAlignment="1">
      <x:alignment horizontal="right" vertical="center"/>
    </x:xf>
    <x:xf numFmtId="164" fontId="12" fillId="6" borderId="2" xfId="0" applyAlignment="1">
      <x:alignment horizontal="right" vertical="center"/>
    </x:xf>
    <x:xf numFmtId="164" fontId="12" fillId="6" borderId="15" xfId="0" applyAlignment="1">
      <x:alignment horizontal="right" vertical="center"/>
    </x:xf>
    <x:xf numFmtId="164" fontId="12" fillId="7" borderId="2" xfId="0" applyAlignment="1">
      <x:alignment horizontal="right" vertical="center"/>
    </x:xf>
    <x:xf numFmtId="164" fontId="12" fillId="7" borderId="15" xfId="0" applyAlignment="1">
      <x:alignment horizontal="right" vertical="center"/>
    </x:xf>
    <x:xf numFmtId="165" fontId="4" fillId="2" borderId="2" xfId="0" applyAlignment="1">
      <x:alignment vertical="center"/>
    </x:xf>
    <x:xf numFmtId="165" fontId="4" fillId="8" borderId="2" xfId="0" applyAlignment="1">
      <x:alignment vertical="center"/>
    </x:xf>
    <x:xf numFmtId="0" fontId="5" fillId="33" borderId="7" xfId="0" applyAlignment="1">
      <x:alignment horizontal="left" vertical="center"/>
    </x:xf>
    <x:xf numFmtId="0" fontId="5" fillId="33" borderId="8" xfId="0" applyAlignment="1">
      <x:alignment horizontal="right" vertical="center"/>
    </x:xf>
    <x:xf numFmtId="1" fontId="5" fillId="33" borderId="8" xfId="0" applyAlignment="1">
      <x:alignment horizontal="right" vertical="center"/>
    </x:xf>
    <x:xf numFmtId="3" fontId="4" fillId="33" borderId="16" xfId="0" applyAlignment="1">
      <x:alignment horizontal="right" vertical="center"/>
    </x:xf>
    <x:xf numFmtId="164" fontId="4" fillId="33" borderId="2" xfId="0" applyAlignment="1">
      <x:alignment horizontal="right" vertical="center"/>
    </x:xf>
    <x:xf numFmtId="3" fontId="4" fillId="33" borderId="2" xfId="0" applyAlignment="1">
      <x:alignment horizontal="right" vertical="center"/>
    </x:xf>
    <x:xf numFmtId="166" fontId="4" fillId="33" borderId="18" xfId="0" applyAlignment="1">
      <x:alignment horizontal="right" vertical="center"/>
    </x:xf>
    <x:xf numFmtId="165" fontId="4" fillId="33" borderId="2" xfId="0" applyAlignment="1">
      <x:alignment horizontal="right" vertical="center"/>
    </x:xf>
    <x:xf numFmtId="164" fontId="4" fillId="33" borderId="17" xfId="0" applyAlignment="1">
      <x:alignment horizontal="center" vertical="center"/>
    </x:xf>
    <x:xf numFmtId="164" fontId="4" fillId="33" borderId="15" xfId="0" applyAlignment="1">
      <x:alignment vertical="center"/>
    </x:xf>
    <x:xf numFmtId="165" fontId="4" fillId="33" borderId="2" xfId="0" applyAlignment="1">
      <x:alignment vertical="center"/>
    </x:xf>
    <x:xf numFmtId="0" fontId="4" fillId="33" borderId="18" xfId="0" applyAlignment="1">
      <x:alignment vertical="center"/>
    </x:xf>
    <x:xf numFmtId="0" fontId="4" fillId="33" borderId="7" xfId="0" applyAlignment="1">
      <x:alignment horizontal="left" vertical="center"/>
    </x:xf>
    <x:xf numFmtId="0" fontId="4" fillId="33" borderId="8" xfId="0" applyAlignment="1">
      <x:alignment horizontal="right" vertical="center"/>
    </x:xf>
    <x:xf numFmtId="1" fontId="4" fillId="33" borderId="8" xfId="0" applyAlignment="1">
      <x:alignment horizontal="right" vertical="center"/>
    </x:xf>
    <x:xf numFmtId="0" fontId="4" fillId="33" borderId="16" xfId="0" applyAlignment="1">
      <x:alignment horizontal="left" vertical="center"/>
    </x:xf>
    <x:xf numFmtId="0" fontId="4" fillId="33" borderId="2" xfId="0" applyAlignment="1">
      <x:alignment horizontal="right" vertical="center"/>
    </x:xf>
    <x:xf numFmtId="1" fontId="4" fillId="33" borderId="2" xfId="0" applyAlignment="1">
      <x:alignment horizontal="right" vertical="center"/>
    </x:xf>
    <x:xf numFmtId="0" fontId="4" fillId="34" borderId="10" xfId="0" applyAlignment="1">
      <x:alignment horizontal="left" vertical="center"/>
    </x:xf>
    <x:xf numFmtId="0" fontId="4" fillId="34" borderId="10" xfId="0" applyAlignment="1">
      <x:alignment horizontal="right" vertical="center"/>
    </x:xf>
    <x:xf numFmtId="1" fontId="4" fillId="34" borderId="10" xfId="0" applyAlignment="1">
      <x:alignment horizontal="right" vertical="center"/>
    </x:xf>
    <x:xf numFmtId="3" fontId="4" fillId="34" borderId="16" xfId="0" applyAlignment="1">
      <x:alignment horizontal="right" vertical="center"/>
    </x:xf>
    <x:xf numFmtId="164" fontId="4" fillId="34" borderId="2" xfId="0" applyAlignment="1">
      <x:alignment horizontal="right" vertical="center"/>
    </x:xf>
    <x:xf numFmtId="3" fontId="4" fillId="34" borderId="2" xfId="0" applyAlignment="1">
      <x:alignment horizontal="right" vertical="center"/>
    </x:xf>
    <x:xf numFmtId="166" fontId="4" fillId="34" borderId="18" xfId="0" applyAlignment="1">
      <x:alignment horizontal="right" vertical="center"/>
    </x:xf>
    <x:xf numFmtId="165" fontId="4" fillId="34" borderId="2" xfId="0" applyAlignment="1">
      <x:alignment horizontal="right" vertical="center"/>
    </x:xf>
    <x:xf numFmtId="164" fontId="4" fillId="34" borderId="2" xfId="0" applyAlignment="1">
      <x:alignment horizontal="center" vertical="center"/>
    </x:xf>
    <x:xf numFmtId="164" fontId="4" fillId="34" borderId="15" xfId="0" applyAlignment="1">
      <x:alignment vertical="center"/>
    </x:xf>
    <x:xf numFmtId="165" fontId="4" fillId="34" borderId="2" xfId="0" applyAlignment="1">
      <x:alignment vertical="center"/>
    </x:xf>
    <x:xf numFmtId="0" fontId="4" fillId="34" borderId="18" xfId="0" applyAlignment="1">
      <x:alignment vertical="center"/>
    </x:xf>
    <x:xf numFmtId="0" fontId="4" fillId="34" borderId="16" xfId="0" applyAlignment="1">
      <x:alignment horizontal="left" vertical="center"/>
    </x:xf>
    <x:xf numFmtId="0" fontId="4" fillId="34" borderId="2" xfId="0" applyAlignment="1">
      <x:alignment horizontal="right" vertical="center"/>
    </x:xf>
    <x:xf numFmtId="1" fontId="4" fillId="34" borderId="2" xfId="0" applyAlignment="1">
      <x:alignment horizontal="right" vertical="center"/>
    </x:xf>
    <x:xf numFmtId="0" fontId="1" fillId="35" borderId="2" xfId="0" applyAlignment="1">
      <x:alignment horizontal="left" vertical="center"/>
    </x:xf>
    <x:xf numFmtId="0" fontId="1" fillId="35" borderId="2" xfId="0" applyAlignment="1">
      <x:alignment horizontal="right" vertical="center"/>
    </x:xf>
    <x:xf numFmtId="1" fontId="1" fillId="35" borderId="2" xfId="0" applyAlignment="1">
      <x:alignment horizontal="right" vertical="center"/>
    </x:xf>
    <x:xf numFmtId="3" fontId="11" fillId="35" borderId="16" xfId="0" applyAlignment="1">
      <x:alignment horizontal="right" vertical="center"/>
    </x:xf>
    <x:xf numFmtId="164" fontId="11" fillId="35" borderId="2" xfId="0" applyAlignment="1">
      <x:alignment horizontal="right" vertical="center"/>
    </x:xf>
    <x:xf numFmtId="3" fontId="11" fillId="35" borderId="2" xfId="0" applyAlignment="1">
      <x:alignment horizontal="right" vertical="center"/>
    </x:xf>
    <x:xf numFmtId="166" fontId="11" fillId="35" borderId="18" xfId="0" applyAlignment="1">
      <x:alignment horizontal="right" vertical="center"/>
    </x:xf>
    <x:xf numFmtId="165" fontId="11" fillId="35" borderId="2" xfId="0" applyAlignment="1">
      <x:alignment horizontal="right" vertical="center"/>
    </x:xf>
    <x:xf numFmtId="164" fontId="12" fillId="35" borderId="2" xfId="0" applyAlignment="1">
      <x:alignment horizontal="right" vertical="center"/>
    </x:xf>
    <x:xf numFmtId="164" fontId="12" fillId="35" borderId="15" xfId="0" applyAlignment="1">
      <x:alignment horizontal="right" vertical="center"/>
    </x:xf>
    <x:xf numFmtId="0" fontId="13" fillId="35" borderId="2" xfId="0" applyAlignment="1">
      <x:alignment horizontal="left" vertical="center"/>
    </x:xf>
    <x:xf numFmtId="0" fontId="13" fillId="35" borderId="2" xfId="0" applyAlignment="1">
      <x:alignment horizontal="right" vertical="center"/>
    </x:xf>
    <x:xf numFmtId="1" fontId="13" fillId="35" borderId="2" xfId="0" applyAlignment="1">
      <x:alignment horizontal="right" vertical="center"/>
    </x:xf>
    <x:xf numFmtId="3" fontId="13" fillId="35" borderId="16" xfId="0" applyAlignment="1">
      <x:alignment horizontal="right" vertical="center"/>
    </x:xf>
    <x:xf numFmtId="164" fontId="13" fillId="35" borderId="2" xfId="0" applyAlignment="1">
      <x:alignment horizontal="right" vertical="center"/>
    </x:xf>
    <x:xf numFmtId="3" fontId="13" fillId="35" borderId="2" xfId="0" applyAlignment="1">
      <x:alignment horizontal="right" vertical="center"/>
    </x:xf>
    <x:xf numFmtId="166" fontId="13" fillId="35" borderId="18" xfId="0" applyAlignment="1">
      <x:alignment horizontal="right" vertical="center"/>
    </x:xf>
    <x:xf numFmtId="165" fontId="13" fillId="35" borderId="2" xfId="0" applyAlignment="1">
      <x:alignment horizontal="right" vertical="center"/>
    </x:xf>
    <x:xf numFmtId="164" fontId="13" fillId="35" borderId="15" xfId="0" applyAlignment="1">
      <x:alignment horizontal="right" vertical="center"/>
    </x:xf>
    <x:xf numFmtId="0" fontId="13" fillId="35" borderId="16" xfId="0" applyAlignment="1">
      <x:alignment horizontal="left" vertical="center"/>
    </x:xf>
    <x:xf numFmtId="165" fontId="13" fillId="35" borderId="18" xfId="0" applyAlignment="1">
      <x:alignment horizontal="right" vertical="center"/>
    </x:xf>
    <x:xf numFmtId="0" fontId="13" fillId="35" borderId="16" xfId="0" applyAlignment="1">
      <x:alignment horizontal="right" vertical="center"/>
    </x:xf>
    <x:xf numFmtId="0" fontId="7" fillId="35" borderId="15" xfId="0" applyAlignment="1">
      <x:alignment horizontal="center" vertical="center"/>
    </x:xf>
    <x:xf numFmtId="0" fontId="10" fillId="35" borderId="15" xfId="0" applyAlignment="1">
      <x:alignment horizontal="center" vertical="center"/>
    </x:xf>
    <x:xf numFmtId="164" fontId="9" fillId="35" borderId="15" xfId="0" applyAlignment="1">
      <x:alignment horizontal="right" vertical="center"/>
    </x:xf>
    <x:xf numFmtId="166" fontId="12" fillId="35" borderId="15" xfId="0" applyAlignment="1">
      <x:alignment horizontal="right" vertical="center"/>
    </x:xf>
    <x:xf numFmtId="166" fontId="13" fillId="35" borderId="15" xfId="0" applyAlignment="1">
      <x:alignment horizontal="right" vertical="center"/>
    </x:xf>
    <x:xf numFmtId="0" fontId="9" fillId="35" borderId="2" xfId="0" applyAlignment="1">
      <x:alignment horizontal="right" vertical="center"/>
    </x:xf>
    <x:xf numFmtId="3" fontId="12" fillId="35" borderId="16" xfId="0" applyAlignment="1">
      <x:alignment horizontal="right" vertical="center"/>
    </x:xf>
    <x:xf numFmtId="0" fontId="1" fillId="36" borderId="2" xfId="0" applyAlignment="1">
      <x:alignment horizontal="left" vertical="center"/>
    </x:xf>
    <x:xf numFmtId="0" fontId="1" fillId="36" borderId="2" xfId="0" applyAlignment="1">
      <x:alignment horizontal="right" vertical="center"/>
    </x:xf>
    <x:xf numFmtId="1" fontId="1" fillId="36" borderId="2" xfId="0" applyAlignment="1">
      <x:alignment horizontal="right" vertical="center"/>
    </x:xf>
    <x:xf numFmtId="3" fontId="11" fillId="36" borderId="16" xfId="0" applyAlignment="1">
      <x:alignment horizontal="right" vertical="center"/>
    </x:xf>
    <x:xf numFmtId="164" fontId="11" fillId="36" borderId="2" xfId="0" applyAlignment="1">
      <x:alignment horizontal="right" vertical="center"/>
    </x:xf>
    <x:xf numFmtId="3" fontId="11" fillId="36" borderId="2" xfId="0" applyAlignment="1">
      <x:alignment horizontal="right" vertical="center"/>
    </x:xf>
    <x:xf numFmtId="166" fontId="11" fillId="36" borderId="18" xfId="0" applyAlignment="1">
      <x:alignment horizontal="right" vertical="center"/>
    </x:xf>
    <x:xf numFmtId="165" fontId="11" fillId="36" borderId="2" xfId="0" applyAlignment="1">
      <x:alignment horizontal="right" vertical="center"/>
    </x:xf>
    <x:xf numFmtId="164" fontId="12" fillId="36" borderId="2" xfId="0" applyAlignment="1">
      <x:alignment horizontal="right" vertical="center"/>
    </x:xf>
    <x:xf numFmtId="164" fontId="12" fillId="36" borderId="15" xfId="0" applyAlignment="1">
      <x:alignment horizontal="right" vertical="center"/>
    </x:xf>
    <x:xf numFmtId="0" fontId="13" fillId="36" borderId="2" xfId="0" applyAlignment="1">
      <x:alignment horizontal="left" vertical="center"/>
    </x:xf>
    <x:xf numFmtId="0" fontId="13" fillId="36" borderId="2" xfId="0" applyAlignment="1">
      <x:alignment horizontal="right" vertical="center"/>
    </x:xf>
    <x:xf numFmtId="1" fontId="13" fillId="36" borderId="2" xfId="0" applyAlignment="1">
      <x:alignment horizontal="right" vertical="center"/>
    </x:xf>
    <x:xf numFmtId="3" fontId="13" fillId="36" borderId="16" xfId="0" applyAlignment="1">
      <x:alignment horizontal="right" vertical="center"/>
    </x:xf>
    <x:xf numFmtId="164" fontId="13" fillId="36" borderId="2" xfId="0" applyAlignment="1">
      <x:alignment horizontal="right" vertical="center"/>
    </x:xf>
    <x:xf numFmtId="3" fontId="13" fillId="36" borderId="2" xfId="0" applyAlignment="1">
      <x:alignment horizontal="right" vertical="center"/>
    </x:xf>
    <x:xf numFmtId="166" fontId="13" fillId="36" borderId="18" xfId="0" applyAlignment="1">
      <x:alignment horizontal="right" vertical="center"/>
    </x:xf>
    <x:xf numFmtId="165" fontId="13" fillId="36" borderId="2" xfId="0" applyAlignment="1">
      <x:alignment horizontal="right" vertical="center"/>
    </x:xf>
    <x:xf numFmtId="164" fontId="13" fillId="36" borderId="15" xfId="0" applyAlignment="1">
      <x:alignment horizontal="right" vertical="center"/>
    </x:xf>
    <x:xf numFmtId="0" fontId="13" fillId="36" borderId="16" xfId="0" applyAlignment="1">
      <x:alignment horizontal="left" vertical="center"/>
    </x:xf>
    <x:xf numFmtId="165" fontId="13" fillId="36" borderId="18" xfId="0" applyAlignment="1">
      <x:alignment horizontal="right" vertical="center"/>
    </x:xf>
    <x:xf numFmtId="0" fontId="13" fillId="36" borderId="16" xfId="0" applyAlignment="1">
      <x:alignment horizontal="right" vertical="center"/>
    </x:xf>
    <x:xf numFmtId="0" fontId="7" fillId="36" borderId="15" xfId="0" applyAlignment="1">
      <x:alignment horizontal="center" vertical="center"/>
    </x:xf>
    <x:xf numFmtId="0" fontId="10" fillId="36" borderId="15" xfId="0" applyAlignment="1">
      <x:alignment horizontal="center" vertical="center"/>
    </x:xf>
    <x:xf numFmtId="0" fontId="9" fillId="36" borderId="2" xfId="0" applyAlignment="1">
      <x:alignment horizontal="right" vertical="center"/>
    </x:xf>
    <x:xf numFmtId="3" fontId="12" fillId="36" borderId="16" xfId="0" applyAlignment="1">
      <x:alignment horizontal="right" vertical="center"/>
    </x:xf>
    <x:xf numFmtId="164" fontId="9" fillId="36" borderId="15" xfId="0" applyAlignment="1">
      <x:alignment horizontal="right" vertical="center"/>
    </x:xf>
    <x:xf numFmtId="166" fontId="12" fillId="36" borderId="15" xfId="0" applyAlignment="1">
      <x:alignment horizontal="right" vertical="center"/>
    </x:xf>
    <x:xf numFmtId="166" fontId="13" fillId="36" borderId="15" xfId="0" applyAlignment="1">
      <x:alignment horizontal="right" vertical="center"/>
    </x:xf>
    <x:xf numFmtId="0" fontId="1" fillId="37" borderId="2" xfId="0" applyAlignment="1">
      <x:alignment horizontal="left" vertical="center"/>
    </x:xf>
    <x:xf numFmtId="0" fontId="1" fillId="37" borderId="2" xfId="0" applyAlignment="1">
      <x:alignment horizontal="right" vertical="center"/>
    </x:xf>
    <x:xf numFmtId="1" fontId="1" fillId="37" borderId="2" xfId="0" applyAlignment="1">
      <x:alignment horizontal="right" vertical="center"/>
    </x:xf>
    <x:xf numFmtId="3" fontId="11" fillId="37" borderId="16" xfId="0" applyAlignment="1">
      <x:alignment horizontal="right" vertical="center"/>
    </x:xf>
    <x:xf numFmtId="164" fontId="11" fillId="37" borderId="2" xfId="0" applyAlignment="1">
      <x:alignment horizontal="right" vertical="center"/>
    </x:xf>
    <x:xf numFmtId="3" fontId="11" fillId="37" borderId="2" xfId="0" applyAlignment="1">
      <x:alignment horizontal="right" vertical="center"/>
    </x:xf>
    <x:xf numFmtId="166" fontId="11" fillId="37" borderId="18" xfId="0" applyAlignment="1">
      <x:alignment horizontal="right" vertical="center"/>
    </x:xf>
    <x:xf numFmtId="165" fontId="11" fillId="37" borderId="2" xfId="0" applyAlignment="1">
      <x:alignment horizontal="right" vertical="center"/>
    </x:xf>
    <x:xf numFmtId="164" fontId="12" fillId="37" borderId="2" xfId="0" applyAlignment="1">
      <x:alignment horizontal="right" vertical="center"/>
    </x:xf>
    <x:xf numFmtId="164" fontId="12" fillId="37" borderId="15" xfId="0" applyAlignment="1">
      <x:alignment horizontal="right" vertical="center"/>
    </x:xf>
    <x:xf numFmtId="0" fontId="13" fillId="37" borderId="2" xfId="0" applyAlignment="1">
      <x:alignment horizontal="left" vertical="center"/>
    </x:xf>
    <x:xf numFmtId="0" fontId="13" fillId="37" borderId="2" xfId="0" applyAlignment="1">
      <x:alignment horizontal="right" vertical="center"/>
    </x:xf>
    <x:xf numFmtId="1" fontId="13" fillId="37" borderId="2" xfId="0" applyAlignment="1">
      <x:alignment horizontal="right" vertical="center"/>
    </x:xf>
    <x:xf numFmtId="3" fontId="13" fillId="37" borderId="16" xfId="0" applyAlignment="1">
      <x:alignment horizontal="right" vertical="center"/>
    </x:xf>
    <x:xf numFmtId="164" fontId="13" fillId="37" borderId="2" xfId="0" applyAlignment="1">
      <x:alignment horizontal="right" vertical="center"/>
    </x:xf>
    <x:xf numFmtId="3" fontId="13" fillId="37" borderId="2" xfId="0" applyAlignment="1">
      <x:alignment horizontal="right" vertical="center"/>
    </x:xf>
    <x:xf numFmtId="166" fontId="13" fillId="37" borderId="18" xfId="0" applyAlignment="1">
      <x:alignment horizontal="right" vertical="center"/>
    </x:xf>
    <x:xf numFmtId="165" fontId="13" fillId="37" borderId="2" xfId="0" applyAlignment="1">
      <x:alignment horizontal="right" vertical="center"/>
    </x:xf>
    <x:xf numFmtId="164" fontId="13" fillId="37" borderId="15" xfId="0" applyAlignment="1">
      <x:alignment horizontal="right" vertical="center"/>
    </x:xf>
    <x:xf numFmtId="0" fontId="13" fillId="37" borderId="16" xfId="0" applyAlignment="1">
      <x:alignment horizontal="left" vertical="center"/>
    </x:xf>
    <x:xf numFmtId="165" fontId="13" fillId="37" borderId="18" xfId="0" applyAlignment="1">
      <x:alignment horizontal="right" vertical="center"/>
    </x:xf>
    <x:xf numFmtId="0" fontId="13" fillId="37" borderId="16" xfId="0" applyAlignment="1">
      <x:alignment horizontal="right" vertical="center"/>
    </x:xf>
    <x:xf numFmtId="0" fontId="7" fillId="37" borderId="15" xfId="0" applyAlignment="1">
      <x:alignment horizontal="center" vertical="center"/>
    </x:xf>
    <x:xf numFmtId="0" fontId="10" fillId="37" borderId="15" xfId="0" applyAlignment="1">
      <x:alignment horizontal="center" vertical="center"/>
    </x:xf>
    <x:xf numFmtId="0" fontId="9" fillId="37" borderId="2" xfId="0" applyAlignment="1">
      <x:alignment horizontal="right" vertical="center"/>
    </x:xf>
    <x:xf numFmtId="3" fontId="12" fillId="37" borderId="16" xfId="0" applyAlignment="1">
      <x:alignment horizontal="right" vertical="center"/>
    </x:xf>
    <x:xf numFmtId="164" fontId="9" fillId="37" borderId="15" xfId="0" applyAlignment="1">
      <x:alignment horizontal="right" vertical="center"/>
    </x:xf>
    <x:xf numFmtId="166" fontId="12" fillId="37" borderId="15" xfId="0" applyAlignment="1">
      <x:alignment horizontal="right" vertical="center"/>
    </x:xf>
    <x:xf numFmtId="166" fontId="13" fillId="37" borderId="15" xfId="0" applyAlignment="1">
      <x:alignment horizontal="right" vertical="center"/>
    </x:xf>
    <x:xf numFmtId="0" fontId="1" fillId="38" borderId="2" xfId="0" applyAlignment="1">
      <x:alignment horizontal="left" vertical="center"/>
    </x:xf>
    <x:xf numFmtId="0" fontId="1" fillId="38" borderId="2" xfId="0" applyAlignment="1">
      <x:alignment horizontal="right" vertical="center"/>
    </x:xf>
    <x:xf numFmtId="1" fontId="1" fillId="38" borderId="2" xfId="0" applyAlignment="1">
      <x:alignment horizontal="right" vertical="center"/>
    </x:xf>
    <x:xf numFmtId="3" fontId="11" fillId="38" borderId="16" xfId="0" applyAlignment="1">
      <x:alignment horizontal="right" vertical="center"/>
    </x:xf>
    <x:xf numFmtId="164" fontId="11" fillId="38" borderId="2" xfId="0" applyAlignment="1">
      <x:alignment horizontal="right" vertical="center"/>
    </x:xf>
    <x:xf numFmtId="3" fontId="11" fillId="38" borderId="2" xfId="0" applyAlignment="1">
      <x:alignment horizontal="right" vertical="center"/>
    </x:xf>
    <x:xf numFmtId="166" fontId="11" fillId="38" borderId="18" xfId="0" applyAlignment="1">
      <x:alignment horizontal="right" vertical="center"/>
    </x:xf>
    <x:xf numFmtId="165" fontId="11" fillId="38" borderId="2" xfId="0" applyAlignment="1">
      <x:alignment horizontal="right" vertical="center"/>
    </x:xf>
    <x:xf numFmtId="164" fontId="12" fillId="38" borderId="2" xfId="0" applyAlignment="1">
      <x:alignment horizontal="right" vertical="center"/>
    </x:xf>
    <x:xf numFmtId="164" fontId="12" fillId="38" borderId="15" xfId="0" applyAlignment="1">
      <x:alignment horizontal="right" vertical="center"/>
    </x:xf>
    <x:xf numFmtId="0" fontId="13" fillId="38" borderId="2" xfId="0" applyAlignment="1">
      <x:alignment horizontal="left" vertical="center"/>
    </x:xf>
    <x:xf numFmtId="0" fontId="13" fillId="38" borderId="2" xfId="0" applyAlignment="1">
      <x:alignment horizontal="right" vertical="center"/>
    </x:xf>
    <x:xf numFmtId="1" fontId="13" fillId="38" borderId="2" xfId="0" applyAlignment="1">
      <x:alignment horizontal="right" vertical="center"/>
    </x:xf>
    <x:xf numFmtId="3" fontId="13" fillId="38" borderId="16" xfId="0" applyAlignment="1">
      <x:alignment horizontal="right" vertical="center"/>
    </x:xf>
    <x:xf numFmtId="164" fontId="13" fillId="38" borderId="2" xfId="0" applyAlignment="1">
      <x:alignment horizontal="right" vertical="center"/>
    </x:xf>
    <x:xf numFmtId="3" fontId="13" fillId="38" borderId="2" xfId="0" applyAlignment="1">
      <x:alignment horizontal="right" vertical="center"/>
    </x:xf>
    <x:xf numFmtId="166" fontId="13" fillId="38" borderId="18" xfId="0" applyAlignment="1">
      <x:alignment horizontal="right" vertical="center"/>
    </x:xf>
    <x:xf numFmtId="165" fontId="13" fillId="38" borderId="2" xfId="0" applyAlignment="1">
      <x:alignment horizontal="right" vertical="center"/>
    </x:xf>
    <x:xf numFmtId="164" fontId="13" fillId="38" borderId="15" xfId="0" applyAlignment="1">
      <x:alignment horizontal="right" vertical="center"/>
    </x:xf>
    <x:xf numFmtId="0" fontId="13" fillId="38" borderId="16" xfId="0" applyAlignment="1">
      <x:alignment horizontal="left" vertical="center"/>
    </x:xf>
    <x:xf numFmtId="165" fontId="13" fillId="38" borderId="18" xfId="0" applyAlignment="1">
      <x:alignment horizontal="right" vertical="center"/>
    </x:xf>
    <x:xf numFmtId="0" fontId="13" fillId="38" borderId="16" xfId="0" applyAlignment="1">
      <x:alignment horizontal="right" vertical="center"/>
    </x:xf>
    <x:xf numFmtId="0" fontId="10" fillId="38" borderId="15" xfId="0" applyAlignment="1">
      <x:alignment horizontal="center" vertical="center"/>
    </x:xf>
    <x:xf numFmtId="0" fontId="9" fillId="38" borderId="2" xfId="0" applyAlignment="1">
      <x:alignment horizontal="right" vertical="center"/>
    </x:xf>
    <x:xf numFmtId="3" fontId="12" fillId="38" borderId="16" xfId="0" applyAlignment="1">
      <x:alignment horizontal="right" vertical="center"/>
    </x:xf>
    <x:xf numFmtId="164" fontId="9" fillId="38" borderId="15" xfId="0" applyAlignment="1">
      <x:alignment horizontal="right" vertical="center"/>
    </x:xf>
    <x:xf numFmtId="166" fontId="12" fillId="38" borderId="15" xfId="0" applyAlignment="1">
      <x:alignment horizontal="right" vertical="center"/>
    </x:xf>
    <x:xf numFmtId="166" fontId="13" fillId="38" borderId="15" xfId="0" applyAlignment="1">
      <x:alignment horizontal="right" vertical="center"/>
    </x:xf>
    <x:xf numFmtId="0" fontId="7" fillId="38" borderId="15" xfId="0" applyAlignment="1">
      <x:alignment horizontal="center" vertical="center"/>
    </x:xf>
    <x:xf numFmtId="0" fontId="4" fillId="38" borderId="10" xfId="0" applyAlignment="1">
      <x:alignment horizontal="left" vertical="center"/>
    </x:xf>
    <x:xf numFmtId="0" fontId="4" fillId="38" borderId="10" xfId="0" applyAlignment="1">
      <x:alignment horizontal="right" vertical="center"/>
    </x:xf>
    <x:xf numFmtId="1" fontId="4" fillId="38" borderId="10" xfId="0" applyAlignment="1">
      <x:alignment horizontal="right" vertical="center"/>
    </x:xf>
    <x:xf numFmtId="3" fontId="4" fillId="38" borderId="16" xfId="0" applyAlignment="1">
      <x:alignment horizontal="right" vertical="center"/>
    </x:xf>
    <x:xf numFmtId="164" fontId="4" fillId="38" borderId="2" xfId="0" applyAlignment="1">
      <x:alignment horizontal="right" vertical="center"/>
    </x:xf>
    <x:xf numFmtId="3" fontId="4" fillId="38" borderId="2" xfId="0" applyAlignment="1">
      <x:alignment horizontal="right" vertical="center"/>
    </x:xf>
    <x:xf numFmtId="166" fontId="4" fillId="38" borderId="18" xfId="0" applyAlignment="1">
      <x:alignment horizontal="right" vertical="center"/>
    </x:xf>
    <x:xf numFmtId="165" fontId="4" fillId="38" borderId="2" xfId="0" applyAlignment="1">
      <x:alignment horizontal="right" vertical="center"/>
    </x:xf>
    <x:xf numFmtId="164" fontId="4" fillId="38" borderId="2" xfId="0" applyAlignment="1">
      <x:alignment horizontal="center" vertical="center"/>
    </x:xf>
    <x:xf numFmtId="164" fontId="4" fillId="38" borderId="15" xfId="0" applyAlignment="1">
      <x:alignment vertical="center"/>
    </x:xf>
    <x:xf numFmtId="165" fontId="4" fillId="38" borderId="2" xfId="0" applyAlignment="1">
      <x:alignment vertical="center"/>
    </x:xf>
    <x:xf numFmtId="0" fontId="13" fillId="38" borderId="10" xfId="0" applyAlignment="1">
      <x:alignment horizontal="left" vertical="center"/>
    </x:xf>
    <x:xf numFmtId="0" fontId="13" fillId="38" borderId="10" xfId="0" applyAlignment="1">
      <x:alignment horizontal="right" vertical="center"/>
    </x:xf>
    <x:xf numFmtId="1" fontId="13" fillId="38" borderId="10" xfId="0" applyAlignment="1">
      <x:alignment horizontal="right" vertical="center"/>
    </x:xf>
    <x:xf numFmtId="164" fontId="13" fillId="38" borderId="2" xfId="0" applyAlignment="1">
      <x:alignment horizontal="center" vertical="center"/>
    </x:xf>
    <x:xf numFmtId="164" fontId="13" fillId="38" borderId="15" xfId="0" applyAlignment="1">
      <x:alignment vertical="center"/>
    </x:xf>
    <x:xf numFmtId="165" fontId="13" fillId="38" borderId="2" xfId="0" applyAlignment="1">
      <x:alignment vertical="center"/>
    </x:xf>
    <x:xf numFmtId="165" fontId="13" fillId="38" borderId="18" xfId="0" applyAlignment="1">
      <x:alignment vertical="center"/>
    </x:xf>
    <x:xf numFmtId="0" fontId="4" fillId="38" borderId="18" xfId="0" applyAlignment="1">
      <x:alignment vertical="center"/>
    </x:xf>
    <x:xf numFmtId="0" fontId="7" fillId="38" borderId="18" xfId="0" applyAlignment="1">
      <x:alignment vertical="center"/>
    </x:xf>
    <x:xf numFmtId="0" fontId="7" fillId="38" borderId="15" xfId="0" applyAlignment="1">
      <x:alignment vertical="center"/>
    </x:xf>
    <x:xf numFmtId="0" fontId="1" fillId="34" borderId="2" xfId="0" applyAlignment="1">
      <x:alignment horizontal="left" vertical="center"/>
    </x:xf>
    <x:xf numFmtId="0" fontId="1" fillId="34" borderId="2" xfId="0" applyAlignment="1">
      <x:alignment horizontal="right" vertical="center"/>
    </x:xf>
    <x:xf numFmtId="1" fontId="1" fillId="34" borderId="2" xfId="0" applyAlignment="1">
      <x:alignment horizontal="right" vertical="center"/>
    </x:xf>
    <x:xf numFmtId="3" fontId="11" fillId="34" borderId="16" xfId="0" applyAlignment="1">
      <x:alignment horizontal="right" vertical="center"/>
    </x:xf>
    <x:xf numFmtId="164" fontId="11" fillId="34" borderId="2" xfId="0" applyAlignment="1">
      <x:alignment horizontal="right" vertical="center"/>
    </x:xf>
    <x:xf numFmtId="3" fontId="11" fillId="34" borderId="2" xfId="0" applyAlignment="1">
      <x:alignment horizontal="right" vertical="center"/>
    </x:xf>
    <x:xf numFmtId="166" fontId="11" fillId="34" borderId="18" xfId="0" applyAlignment="1">
      <x:alignment horizontal="right" vertical="center"/>
    </x:xf>
    <x:xf numFmtId="165" fontId="11" fillId="34" borderId="2" xfId="0" applyAlignment="1">
      <x:alignment horizontal="right" vertical="center"/>
    </x:xf>
    <x:xf numFmtId="164" fontId="12" fillId="34" borderId="2" xfId="0" applyAlignment="1">
      <x:alignment horizontal="right" vertical="center"/>
    </x:xf>
    <x:xf numFmtId="164" fontId="12" fillId="34" borderId="15" xfId="0" applyAlignment="1">
      <x:alignment horizontal="right" vertical="center"/>
    </x:xf>
    <x:xf numFmtId="0" fontId="10" fillId="34" borderId="15" xfId="0" applyAlignment="1">
      <x:alignment horizontal="center" vertical="center"/>
    </x:xf>
    <x:xf numFmtId="0" fontId="4" fillId="34" borderId="2" xfId="0" applyAlignment="1">
      <x:alignment horizontal="left" vertical="center"/>
    </x:xf>
    <x:xf numFmtId="164" fontId="4" fillId="34" borderId="15" xfId="0" applyAlignment="1">
      <x:alignment horizontal="right" vertical="center"/>
    </x:xf>
    <x:xf numFmtId="0" fontId="4" fillId="34" borderId="15" xfId="0" applyAlignment="1">
      <x:alignment horizontal="center" vertical="center"/>
    </x:xf>
    <x:xf numFmtId="0" fontId="4" fillId="35" borderId="10" xfId="0" applyAlignment="1">
      <x:alignment horizontal="left" vertical="center"/>
    </x:xf>
    <x:xf numFmtId="0" fontId="4" fillId="35" borderId="10" xfId="0" applyAlignment="1">
      <x:alignment horizontal="right" vertical="center"/>
    </x:xf>
    <x:xf numFmtId="1" fontId="4" fillId="35" borderId="10" xfId="0" applyAlignment="1">
      <x:alignment horizontal="right" vertical="center"/>
    </x:xf>
    <x:xf numFmtId="3" fontId="4" fillId="35" borderId="16" xfId="0" applyAlignment="1">
      <x:alignment horizontal="right" vertical="center"/>
    </x:xf>
    <x:xf numFmtId="164" fontId="4" fillId="35" borderId="2" xfId="0" applyAlignment="1">
      <x:alignment horizontal="right" vertical="center"/>
    </x:xf>
    <x:xf numFmtId="3" fontId="4" fillId="35" borderId="2" xfId="0" applyAlignment="1">
      <x:alignment horizontal="right" vertical="center"/>
    </x:xf>
    <x:xf numFmtId="166" fontId="4" fillId="35" borderId="18" xfId="0" applyAlignment="1">
      <x:alignment horizontal="right" vertical="center"/>
    </x:xf>
    <x:xf numFmtId="165" fontId="4" fillId="35" borderId="2" xfId="0" applyAlignment="1">
      <x:alignment horizontal="right" vertical="center"/>
    </x:xf>
    <x:xf numFmtId="164" fontId="4" fillId="35" borderId="2" xfId="0" applyAlignment="1">
      <x:alignment horizontal="center" vertical="center"/>
    </x:xf>
    <x:xf numFmtId="164" fontId="4" fillId="35" borderId="15" xfId="0" applyAlignment="1">
      <x:alignment vertical="center"/>
    </x:xf>
    <x:xf numFmtId="165" fontId="4" fillId="35" borderId="2" xfId="0" applyAlignment="1">
      <x:alignment vertical="center"/>
    </x:xf>
    <x:xf numFmtId="0" fontId="13" fillId="35" borderId="10" xfId="0" applyAlignment="1">
      <x:alignment horizontal="left" vertical="center"/>
    </x:xf>
    <x:xf numFmtId="0" fontId="13" fillId="35" borderId="10" xfId="0" applyAlignment="1">
      <x:alignment horizontal="right" vertical="center"/>
    </x:xf>
    <x:xf numFmtId="1" fontId="13" fillId="35" borderId="10" xfId="0" applyAlignment="1">
      <x:alignment horizontal="right" vertical="center"/>
    </x:xf>
    <x:xf numFmtId="164" fontId="13" fillId="35" borderId="2" xfId="0" applyAlignment="1">
      <x:alignment horizontal="center" vertical="center"/>
    </x:xf>
    <x:xf numFmtId="164" fontId="13" fillId="35" borderId="15" xfId="0" applyAlignment="1">
      <x:alignment vertical="center"/>
    </x:xf>
    <x:xf numFmtId="165" fontId="13" fillId="35" borderId="2" xfId="0" applyAlignment="1">
      <x:alignment vertical="center"/>
    </x:xf>
    <x:xf numFmtId="165" fontId="13" fillId="35" borderId="18" xfId="0" applyAlignment="1">
      <x:alignment vertical="center"/>
    </x:xf>
    <x:xf numFmtId="0" fontId="4" fillId="35" borderId="18" xfId="0" applyAlignment="1">
      <x:alignment vertical="center"/>
    </x:xf>
    <x:xf numFmtId="0" fontId="7" fillId="35" borderId="18" xfId="0" applyAlignment="1">
      <x:alignment vertical="center"/>
    </x:xf>
    <x:xf numFmtId="0" fontId="7" fillId="35" borderId="15" xfId="0" applyAlignment="1">
      <x:alignment vertical="center"/>
    </x:xf>
    <x:xf numFmtId="0" fontId="5" fillId="36" borderId="7" xfId="0" applyAlignment="1">
      <x:alignment horizontal="left" vertical="center"/>
    </x:xf>
    <x:xf numFmtId="0" fontId="5" fillId="36" borderId="8" xfId="0" applyAlignment="1">
      <x:alignment horizontal="right" vertical="center"/>
    </x:xf>
    <x:xf numFmtId="1" fontId="5" fillId="36" borderId="8" xfId="0" applyAlignment="1">
      <x:alignment horizontal="right" vertical="center"/>
    </x:xf>
    <x:xf numFmtId="3" fontId="4" fillId="36" borderId="16" xfId="0" applyAlignment="1">
      <x:alignment horizontal="right" vertical="center"/>
    </x:xf>
    <x:xf numFmtId="164" fontId="4" fillId="36" borderId="2" xfId="0" applyAlignment="1">
      <x:alignment horizontal="right" vertical="center"/>
    </x:xf>
    <x:xf numFmtId="3" fontId="4" fillId="36" borderId="2" xfId="0" applyAlignment="1">
      <x:alignment horizontal="right" vertical="center"/>
    </x:xf>
    <x:xf numFmtId="166" fontId="4" fillId="36" borderId="18" xfId="0" applyAlignment="1">
      <x:alignment horizontal="right" vertical="center"/>
    </x:xf>
    <x:xf numFmtId="165" fontId="4" fillId="36" borderId="2" xfId="0" applyAlignment="1">
      <x:alignment horizontal="right" vertical="center"/>
    </x:xf>
    <x:xf numFmtId="164" fontId="4" fillId="36" borderId="17" xfId="0" applyAlignment="1">
      <x:alignment horizontal="center" vertical="center"/>
    </x:xf>
    <x:xf numFmtId="164" fontId="4" fillId="36" borderId="15" xfId="0" applyAlignment="1">
      <x:alignment vertical="center"/>
    </x:xf>
    <x:xf numFmtId="165" fontId="4" fillId="36" borderId="2" xfId="0" applyAlignment="1">
      <x:alignment vertical="center"/>
    </x:xf>
    <x:xf numFmtId="0" fontId="13" fillId="36" borderId="7" xfId="0" applyAlignment="1">
      <x:alignment horizontal="left" vertical="center"/>
    </x:xf>
    <x:xf numFmtId="0" fontId="13" fillId="36" borderId="8" xfId="0" applyAlignment="1">
      <x:alignment horizontal="right" vertical="center"/>
    </x:xf>
    <x:xf numFmtId="1" fontId="13" fillId="36" borderId="8" xfId="0" applyAlignment="1">
      <x:alignment horizontal="right" vertical="center"/>
    </x:xf>
    <x:xf numFmtId="164" fontId="13" fillId="36" borderId="17" xfId="0" applyAlignment="1">
      <x:alignment horizontal="center" vertical="center"/>
    </x:xf>
    <x:xf numFmtId="164" fontId="13" fillId="36" borderId="15" xfId="0" applyAlignment="1">
      <x:alignment vertical="center"/>
    </x:xf>
    <x:xf numFmtId="165" fontId="13" fillId="36" borderId="2" xfId="0" applyAlignment="1">
      <x:alignment vertical="center"/>
    </x:xf>
    <x:xf numFmtId="165" fontId="13" fillId="36" borderId="18" xfId="0" applyAlignment="1">
      <x:alignment vertical="center"/>
    </x:xf>
    <x:xf numFmtId="164" fontId="13" fillId="36" borderId="17" xfId="0" applyAlignment="1">
      <x:alignment horizontal="right" vertical="center"/>
    </x:xf>
    <x:xf numFmtId="0" fontId="4" fillId="36" borderId="18" xfId="0" applyAlignment="1">
      <x:alignment vertical="center"/>
    </x:xf>
    <x:xf numFmtId="0" fontId="7" fillId="36" borderId="18" xfId="0" applyAlignment="1">
      <x:alignment vertical="center"/>
    </x:xf>
    <x:xf numFmtId="0" fontId="7" fillId="36" borderId="15" xfId="0" applyAlignment="1">
      <x:alignment vertical="center"/>
    </x:xf>
    <x:xf numFmtId="0" fontId="4" fillId="33" borderId="10" xfId="0" applyAlignment="1">
      <x:alignment horizontal="left" vertical="center"/>
    </x:xf>
    <x:xf numFmtId="0" fontId="4" fillId="33" borderId="10" xfId="0" applyAlignment="1">
      <x:alignment horizontal="right" vertical="center"/>
    </x:xf>
    <x:xf numFmtId="1" fontId="4" fillId="33" borderId="10" xfId="0" applyAlignment="1">
      <x:alignment horizontal="right" vertical="center"/>
    </x:xf>
    <x:xf numFmtId="164" fontId="4" fillId="33" borderId="2" xfId="0" applyAlignment="1">
      <x:alignment horizontal="center" vertical="center"/>
    </x:xf>
    <x:xf numFmtId="0" fontId="4" fillId="37" borderId="10" xfId="0" applyAlignment="1">
      <x:alignment horizontal="left" vertical="center"/>
    </x:xf>
    <x:xf numFmtId="0" fontId="4" fillId="37" borderId="10" xfId="0" applyAlignment="1">
      <x:alignment horizontal="right" vertical="center"/>
    </x:xf>
    <x:xf numFmtId="1" fontId="4" fillId="37" borderId="10" xfId="0" applyAlignment="1">
      <x:alignment horizontal="right" vertical="center"/>
    </x:xf>
    <x:xf numFmtId="3" fontId="4" fillId="37" borderId="16" xfId="0" applyAlignment="1">
      <x:alignment horizontal="right" vertical="center"/>
    </x:xf>
    <x:xf numFmtId="164" fontId="4" fillId="37" borderId="2" xfId="0" applyAlignment="1">
      <x:alignment horizontal="right" vertical="center"/>
    </x:xf>
    <x:xf numFmtId="3" fontId="4" fillId="37" borderId="2" xfId="0" applyAlignment="1">
      <x:alignment horizontal="right" vertical="center"/>
    </x:xf>
    <x:xf numFmtId="166" fontId="4" fillId="37" borderId="18" xfId="0" applyAlignment="1">
      <x:alignment horizontal="right" vertical="center"/>
    </x:xf>
    <x:xf numFmtId="165" fontId="4" fillId="37" borderId="2" xfId="0" applyAlignment="1">
      <x:alignment horizontal="right" vertical="center"/>
    </x:xf>
    <x:xf numFmtId="164" fontId="4" fillId="37" borderId="2" xfId="0" applyAlignment="1">
      <x:alignment horizontal="center" vertical="center"/>
    </x:xf>
    <x:xf numFmtId="164" fontId="4" fillId="37" borderId="15" xfId="0" applyAlignment="1">
      <x:alignment vertical="center"/>
    </x:xf>
    <x:xf numFmtId="165" fontId="4" fillId="37" borderId="2" xfId="0" applyAlignment="1">
      <x:alignment vertical="center"/>
    </x:xf>
    <x:xf numFmtId="0" fontId="13" fillId="37" borderId="10" xfId="0" applyAlignment="1">
      <x:alignment horizontal="left" vertical="center"/>
    </x:xf>
    <x:xf numFmtId="0" fontId="13" fillId="37" borderId="10" xfId="0" applyAlignment="1">
      <x:alignment horizontal="right" vertical="center"/>
    </x:xf>
    <x:xf numFmtId="1" fontId="13" fillId="37" borderId="10" xfId="0" applyAlignment="1">
      <x:alignment horizontal="right" vertical="center"/>
    </x:xf>
    <x:xf numFmtId="164" fontId="13" fillId="37" borderId="2" xfId="0" applyAlignment="1">
      <x:alignment horizontal="center" vertical="center"/>
    </x:xf>
    <x:xf numFmtId="164" fontId="13" fillId="37" borderId="15" xfId="0" applyAlignment="1">
      <x:alignment vertical="center"/>
    </x:xf>
    <x:xf numFmtId="165" fontId="13" fillId="37" borderId="2" xfId="0" applyAlignment="1">
      <x:alignment vertical="center"/>
    </x:xf>
    <x:xf numFmtId="165" fontId="13" fillId="37" borderId="18" xfId="0" applyAlignment="1">
      <x:alignment vertical="center"/>
    </x:xf>
    <x:xf numFmtId="0" fontId="4" fillId="37" borderId="18" xfId="0" applyAlignment="1">
      <x:alignment vertical="center"/>
    </x:xf>
    <x:xf numFmtId="0" fontId="7" fillId="37" borderId="18" xfId="0" applyAlignment="1">
      <x:alignment vertical="center"/>
    </x:xf>
    <x:xf numFmtId="0" fontId="7" fillId="37" borderId="15" xfId="0" applyAlignment="1">
      <x:alignment vertical="center"/>
    </x:xf>
    <x:xf numFmtId="0" fontId="10" fillId="38" borderId="18" xfId="0" applyAlignment="1">
      <x:alignment vertical="center"/>
    </x:xf>
    <x:xf numFmtId="0" fontId="10" fillId="38" borderId="15" xfId="0" applyAlignment="1">
      <x:alignment vertical="center"/>
    </x:xf>
    <x:xf numFmtId="0" fontId="10" fillId="35" borderId="18" xfId="0" applyAlignment="1">
      <x:alignment vertical="center"/>
    </x:xf>
    <x:xf numFmtId="0" fontId="10" fillId="35" borderId="15" xfId="0" applyAlignment="1">
      <x:alignment vertical="center"/>
    </x:xf>
    <x:xf numFmtId="0" fontId="4" fillId="36" borderId="10" xfId="0" applyAlignment="1">
      <x:alignment horizontal="left" vertical="center"/>
    </x:xf>
    <x:xf numFmtId="0" fontId="4" fillId="36" borderId="10" xfId="0" applyAlignment="1">
      <x:alignment horizontal="right" vertical="center"/>
    </x:xf>
    <x:xf numFmtId="1" fontId="4" fillId="36" borderId="10" xfId="0" applyAlignment="1">
      <x:alignment horizontal="right" vertical="center"/>
    </x:xf>
    <x:xf numFmtId="164" fontId="4" fillId="36" borderId="2" xfId="0" applyAlignment="1">
      <x:alignment horizontal="center" vertical="center"/>
    </x:xf>
    <x:xf numFmtId="0" fontId="13" fillId="36" borderId="10" xfId="0" applyAlignment="1">
      <x:alignment horizontal="left" vertical="center"/>
    </x:xf>
    <x:xf numFmtId="0" fontId="13" fillId="36" borderId="10" xfId="0" applyAlignment="1">
      <x:alignment horizontal="right" vertical="center"/>
    </x:xf>
    <x:xf numFmtId="1" fontId="13" fillId="36" borderId="10" xfId="0" applyAlignment="1">
      <x:alignment horizontal="right" vertical="center"/>
    </x:xf>
    <x:xf numFmtId="164" fontId="13" fillId="36" borderId="2" xfId="0" applyAlignment="1">
      <x:alignment horizontal="center" vertical="center"/>
    </x:xf>
    <x:xf numFmtId="0" fontId="5" fillId="38" borderId="7" xfId="0" applyAlignment="1">
      <x:alignment horizontal="left" vertical="center"/>
    </x:xf>
    <x:xf numFmtId="0" fontId="5" fillId="38" borderId="8" xfId="0" applyAlignment="1">
      <x:alignment horizontal="right" vertical="center"/>
    </x:xf>
    <x:xf numFmtId="1" fontId="5" fillId="38" borderId="8" xfId="0" applyAlignment="1">
      <x:alignment horizontal="right" vertical="center"/>
    </x:xf>
    <x:xf numFmtId="164" fontId="4" fillId="38" borderId="17" xfId="0" applyAlignment="1">
      <x:alignment horizontal="center" vertical="center"/>
    </x:xf>
    <x:xf numFmtId="0" fontId="13" fillId="38" borderId="7" xfId="0" applyAlignment="1">
      <x:alignment horizontal="left" vertical="center"/>
    </x:xf>
    <x:xf numFmtId="0" fontId="13" fillId="38" borderId="8" xfId="0" applyAlignment="1">
      <x:alignment horizontal="right" vertical="center"/>
    </x:xf>
    <x:xf numFmtId="1" fontId="13" fillId="38" borderId="8" xfId="0" applyAlignment="1">
      <x:alignment horizontal="right" vertical="center"/>
    </x:xf>
    <x:xf numFmtId="164" fontId="13" fillId="38" borderId="17" xfId="0" applyAlignment="1">
      <x:alignment horizontal="center" vertical="center"/>
    </x:xf>
    <x:xf numFmtId="164" fontId="13" fillId="38" borderId="17" xfId="0" applyAlignment="1">
      <x:alignment horizontal="right" vertical="center"/>
    </x:xf>
    <x:xf numFmtId="0" fontId="10" fillId="36" borderId="18" xfId="0" applyAlignment="1">
      <x:alignment vertical="center"/>
    </x:xf>
    <x:xf numFmtId="0" fontId="10" fillId="36" borderId="15" xfId="0" applyAlignment="1">
      <x:alignment vertical="center"/>
    </x:xf>
    <x:xf numFmtId="0" fontId="10" fillId="37" borderId="18" xfId="0" applyAlignment="1">
      <x:alignment vertical="center"/>
    </x:xf>
    <x:xf numFmtId="0" fontId="10" fillId="37" borderId="15" xfId="0" applyAlignment="1">
      <x:alignment vertical="center"/>
    </x:xf>
    <x:xf numFmtId="0" fontId="9" fillId="34" borderId="2" xfId="0" applyAlignment="1">
      <x:alignment horizontal="right" vertical="center"/>
    </x:xf>
    <x:xf numFmtId="3" fontId="12" fillId="34" borderId="16" xfId="0" applyAlignment="1">
      <x:alignment horizontal="right" vertical="center"/>
    </x:xf>
    <x:xf numFmtId="164" fontId="9" fillId="34" borderId="15" xfId="0" applyAlignment="1">
      <x:alignment horizontal="right" vertical="center"/>
    </x:xf>
    <x:xf numFmtId="166" fontId="12" fillId="34" borderId="15" xfId="0" applyAlignment="1">
      <x:alignment horizontal="right" vertical="center"/>
    </x:xf>
    <x:xf numFmtId="166" fontId="4" fillId="34" borderId="15" xfId="0" applyAlignment="1">
      <x:alignment horizontal="right" vertical="center"/>
    </x:xf>
    <x:xf numFmtId="3" fontId="1" fillId="38" borderId="2" xfId="0" applyAlignment="1">
      <x:alignment horizontal="right" vertical="center"/>
    </x:xf>
    <x:xf numFmtId="164" fontId="1" fillId="38" borderId="2" xfId="0" applyAlignment="1">
      <x:alignment horizontal="right" vertical="center"/>
    </x:xf>
    <x:xf numFmtId="165" fontId="1" fillId="38" borderId="2" xfId="0" applyAlignment="1">
      <x:alignment horizontal="right" vertical="center"/>
    </x:xf>
    <x:xf numFmtId="0" fontId="1" fillId="38" borderId="2" xfId="0" applyAlignment="1">
      <x:alignment horizontal="center" vertical="center"/>
    </x:xf>
    <x:xf numFmtId="0" fontId="0" fillId="38" borderId="0" xfId="0"/>
    <x:xf numFmtId="3" fontId="13" fillId="38" borderId="2" xfId="0" applyAlignment="1">
      <x:alignment horizontal="right" vertical="center"/>
    </x:xf>
    <x:xf numFmtId="0" fontId="13" fillId="38" borderId="2" xfId="0" applyAlignment="1">
      <x:alignment horizontal="center" vertical="center"/>
    </x:xf>
    <x:xf numFmtId="0" fontId="13" fillId="38" borderId="0" xfId="0"/>
    <x:xf numFmtId="0" fontId="13" fillId="38" borderId="2" xfId="0"/>
    <x:xf numFmtId="0" fontId="13" fillId="38" borderId="18" xfId="0"/>
    <x:xf numFmtId="0" fontId="13" fillId="38" borderId="2" xfId="0" applyAlignment="1">
      <x:alignment horizontal="right"/>
    </x:xf>
    <x:xf numFmtId="0" fontId="13" fillId="38" borderId="18" xfId="0" applyAlignment="1">
      <x:alignment horizontal="right"/>
    </x:xf>
    <x:xf numFmtId="0" fontId="13" fillId="38" borderId="18" xfId="0" applyAlignment="1">
      <x:alignment horizontal="right" vertical="center"/>
    </x:xf>
    <x:xf numFmtId="0" fontId="7" fillId="38" borderId="0" xfId="0"/>
    <x:xf numFmtId="0" fontId="7" fillId="38" borderId="15" xfId="0"/>
    <x:xf numFmtId="0" fontId="7" fillId="38" borderId="15" xfId="0" applyAlignment="1">
      <x:alignment horizontal="center"/>
    </x:xf>
    <x:xf numFmtId="0" fontId="9" fillId="35" borderId="16" xfId="0" applyAlignment="1">
      <x:alignment horizontal="right" vertical="center"/>
    </x:xf>
    <x:xf numFmtId="0" fontId="9" fillId="35" borderId="18" xfId="0" applyAlignment="1">
      <x:alignment horizontal="right" vertical="center"/>
    </x:xf>
    <x:xf numFmtId="164" fontId="13" fillId="39" borderId="15" xfId="0" applyAlignment="1">
      <x:alignment horizontal="right" vertical="center"/>
    </x:xf>
    <x:xf numFmtId="164" fontId="9" fillId="39" borderId="15" xfId="0" applyAlignment="1">
      <x:alignment horizontal="right" vertical="center"/>
    </x:xf>
    <x:xf numFmtId="0" fontId="9" fillId="36" borderId="16" xfId="0" applyAlignment="1">
      <x:alignment horizontal="right" vertical="center"/>
    </x:xf>
    <x:xf numFmtId="0" fontId="9" fillId="36" borderId="18" xfId="0" applyAlignment="1">
      <x:alignment horizontal="right" vertical="center"/>
    </x:xf>
    <x:xf numFmtId="0" fontId="9" fillId="37" borderId="16" xfId="0" applyAlignment="1">
      <x:alignment horizontal="right" vertical="center"/>
    </x:xf>
    <x:xf numFmtId="0" fontId="9" fillId="37" borderId="18" xfId="0" applyAlignment="1">
      <x:alignment horizontal="right" vertical="center"/>
    </x:xf>
    <x:xf numFmtId="0" fontId="9" fillId="38" borderId="16" xfId="0" applyAlignment="1">
      <x:alignment horizontal="right" vertical="center"/>
    </x:xf>
    <x:xf numFmtId="0" fontId="9" fillId="38" borderId="18" xfId="0" applyAlignment="1">
      <x:alignment horizontal="right" vertical="center"/>
    </x:xf>
    <x:xf numFmtId="164" fontId="13" fillId="39" borderId="2" xfId="0" applyAlignment="1">
      <x:alignment horizontal="right" vertical="center"/>
    </x:xf>
    <x:xf numFmtId="164" fontId="9" fillId="39" borderId="2" xfId="0" applyAlignment="1">
      <x:alignment horizontal="right" vertical="center"/>
    </x:xf>
    <x:xf numFmtId="0" fontId="2" fillId="0" borderId="3" xfId="0" applyAlignment="1">
      <x:alignment vertical="center"/>
    </x:xf>
    <x:xf numFmtId="0" fontId="2" fillId="0" borderId="3" xfId="0"/>
    <x:xf numFmtId="0" fontId="2" fillId="0" borderId="0" xfId="0"/>
    <x:xf numFmtId="0" fontId="2" fillId="0" borderId="3" xfId="0" applyAlignment="1">
      <x:alignment horizontal="left" vertical="center"/>
    </x:xf>
    <x:xf numFmtId="0" fontId="2" fillId="0" borderId="3" xfId="0" applyAlignment="1">
      <x:alignment horizontal="left"/>
    </x:xf>
    <x:xf numFmtId="0" fontId="3" fillId="0" borderId="2" xfId="0" applyAlignment="1">
      <x:alignment vertical="center"/>
    </x:xf>
    <x:xf numFmtId="0" fontId="3" fillId="0" borderId="2" xfId="0"/>
    <x:xf numFmtId="0" fontId="3" fillId="0" borderId="0" xfId="0"/>
    <x:xf numFmtId="0" fontId="3" fillId="0" borderId="2" xfId="0" applyAlignment="1">
      <x:alignment horizontal="left" vertical="center"/>
    </x:xf>
    <x:xf numFmtId="0" fontId="3" fillId="0" borderId="2" xfId="0" applyAlignment="1">
      <x:alignment horizontal="left"/>
    </x:xf>
    <x:xf numFmtId="0" fontId="3" fillId="0" borderId="0" xfId="0" applyAlignment="1">
      <x:alignment horizontal="left"/>
    </x:xf>
    <x:xf numFmtId="0" fontId="3" fillId="0" borderId="0" xfId="0" applyAlignment="1">
      <x:alignment horizontal="left" vertical="center"/>
    </x:xf>
    <x:xf numFmtId="0" fontId="4" fillId="40" borderId="6" xfId="0" applyAlignment="1">
      <x:alignment horizontal="center" vertical="center"/>
    </x:xf>
    <x:xf numFmtId="0" fontId="0" fillId="40" borderId="0" xfId="0"/>
    <x:xf numFmtId="0" fontId="4" fillId="40" borderId="0" xfId="0"/>
    <x:xf numFmtId="0" fontId="4" fillId="40" borderId="14" xfId="0" applyAlignment="1">
      <x:alignment horizontal="center" vertical="center"/>
    </x:xf>
    <x:xf numFmtId="0" fontId="4" fillId="40" borderId="14" xfId="0"/>
    <x:xf numFmtId="0" fontId="4" fillId="40" borderId="14" xfId="0" applyAlignment="1">
      <x:alignment horizontal="center"/>
    </x:xf>
    <x:xf numFmtId="0" fontId="4" fillId="41" borderId="14" xfId="0" applyAlignment="1">
      <x:alignment horizontal="center" vertical="center" wrapText="1"/>
    </x:xf>
    <x:xf numFmtId="0" fontId="0" fillId="41" borderId="0" xfId="0"/>
    <x:xf numFmtId="0" fontId="4" fillId="41" borderId="0" xfId="0"/>
    <x:xf numFmtId="0" fontId="4" fillId="41" borderId="14" xfId="0"/>
    <x:xf numFmtId="0" fontId="4" fillId="41" borderId="14" xfId="0" applyAlignment="1">
      <x:alignment wrapText="1"/>
    </x:xf>
    <x:xf numFmtId="0" fontId="4" fillId="41" borderId="14" xfId="0" applyAlignment="1">
      <x:alignment horizontal="center" wrapText="1"/>
    </x:xf>
    <x:xf numFmtId="0" fontId="4" fillId="40" borderId="18" xfId="0" applyAlignment="1">
      <x:alignment vertical="center"/>
    </x:xf>
    <x:xf numFmtId="0" fontId="4" fillId="40" borderId="2" xfId="0"/>
    <x:xf numFmtId="0" fontId="4" fillId="40" borderId="18" xfId="0"/>
    <x:xf numFmtId="0" fontId="4" fillId="40" borderId="18" xfId="0" applyAlignment="1">
      <x:alignment horizontal="left" vertical="center"/>
    </x:xf>
    <x:xf numFmtId="0" fontId="4" fillId="40" borderId="2" xfId="0" applyAlignment="1">
      <x:alignment horizontal="left"/>
    </x:xf>
    <x:xf numFmtId="0" fontId="4" fillId="40" borderId="18" xfId="0" applyAlignment="1">
      <x:alignment horizontal="left"/>
    </x:xf>
    <x:xf numFmtId="0" fontId="4" fillId="40" borderId="2" xfId="0" applyAlignment="1">
      <x:alignment horizontal="left" vertical="center"/>
    </x:xf>
    <x:xf numFmtId="0" fontId="4" fillId="42" borderId="18" xfId="0" applyAlignment="1">
      <x:alignment vertical="center"/>
    </x:xf>
    <x:xf numFmtId="0" fontId="0" fillId="42" borderId="0" xfId="0"/>
    <x:xf numFmtId="0" fontId="4" fillId="42" borderId="0" xfId="0"/>
    <x:xf numFmtId="0" fontId="4" fillId="42" borderId="2" xfId="0"/>
    <x:xf numFmtId="0" fontId="4" fillId="42" borderId="18" xfId="0"/>
    <x:xf numFmtId="0" fontId="4" fillId="42" borderId="18" xfId="0" applyAlignment="1">
      <x:alignment horizontal="left" vertical="center"/>
    </x:xf>
    <x:xf numFmtId="0" fontId="4" fillId="42" borderId="2" xfId="0" applyAlignment="1">
      <x:alignment horizontal="left"/>
    </x:xf>
    <x:xf numFmtId="0" fontId="4" fillId="42" borderId="18" xfId="0" applyAlignment="1">
      <x:alignment horizontal="left"/>
    </x:xf>
    <x:xf numFmtId="0" fontId="4" fillId="42" borderId="2" xfId="0" applyAlignment="1">
      <x:alignment horizontal="left" vertical="center"/>
    </x:xf>
    <x:xf numFmtId="0" fontId="7" fillId="43" borderId="15" xfId="0" applyAlignment="1">
      <x:alignment horizontal="center" vertical="center"/>
    </x:xf>
    <x:xf numFmtId="0" fontId="0" fillId="43" borderId="0" xfId="0"/>
    <x:xf numFmtId="0" fontId="14" fillId="43" borderId="15" xfId="0" applyAlignment="1">
      <x:alignment horizontal="center" vertical="center"/>
    </x:xf>
    <x:xf numFmtId="0" fontId="14" fillId="43" borderId="0" xfId="0"/>
    <x:xf numFmtId="0" fontId="14" fillId="43" borderId="2" xfId="0"/>
    <x:xf numFmtId="0" fontId="14" fillId="43" borderId="18" xfId="0"/>
    <x:xf numFmtId="0" fontId="14" fillId="43" borderId="2" xfId="0" applyAlignment="1">
      <x:alignment vertical="center"/>
    </x:xf>
    <x:xf numFmtId="0" fontId="14" fillId="43" borderId="18" xfId="0" applyAlignment="1">
      <x:alignment vertical="center"/>
    </x:xf>
    <x:xf numFmtId="0" fontId="10" fillId="43" borderId="15" xfId="0" applyAlignment="1">
      <x:alignment horizontal="center" vertical="center"/>
    </x:xf>
    <x:xf numFmtId="0" fontId="7" fillId="44" borderId="15" xfId="0" applyAlignment="1">
      <x:alignment horizontal="center" vertical="center"/>
    </x:xf>
    <x:xf numFmtId="0" fontId="0" fillId="44" borderId="0" xfId="0"/>
    <x:xf numFmtId="0" fontId="14" fillId="44" borderId="15" xfId="0" applyAlignment="1">
      <x:alignment horizontal="center" vertical="center"/>
    </x:xf>
    <x:xf numFmtId="0" fontId="14" fillId="44" borderId="0" xfId="0"/>
    <x:xf numFmtId="0" fontId="14" fillId="44" borderId="2" xfId="0"/>
    <x:xf numFmtId="0" fontId="14" fillId="44" borderId="18" xfId="0"/>
    <x:xf numFmtId="0" fontId="14" fillId="44" borderId="2" xfId="0" applyAlignment="1">
      <x:alignment vertical="center"/>
    </x:xf>
    <x:xf numFmtId="0" fontId="14" fillId="44" borderId="18" xfId="0" applyAlignment="1">
      <x:alignment vertical="center"/>
    </x:xf>
    <x:xf numFmtId="0" fontId="10" fillId="44" borderId="15" xfId="0" applyAlignment="1">
      <x:alignment horizontal="center" vertical="center"/>
    </x:xf>
    <x:xf numFmtId="0" fontId="7" fillId="45" borderId="15" xfId="0" applyAlignment="1">
      <x:alignment horizontal="center" vertical="center"/>
    </x:xf>
    <x:xf numFmtId="0" fontId="0" fillId="45" borderId="0" xfId="0"/>
    <x:xf numFmtId="0" fontId="14" fillId="45" borderId="15" xfId="0" applyAlignment="1">
      <x:alignment horizontal="center" vertical="center"/>
    </x:xf>
    <x:xf numFmtId="0" fontId="14" fillId="45" borderId="0" xfId="0"/>
    <x:xf numFmtId="0" fontId="14" fillId="45" borderId="2" xfId="0"/>
    <x:xf numFmtId="0" fontId="14" fillId="45" borderId="18" xfId="0"/>
    <x:xf numFmtId="0" fontId="14" fillId="45" borderId="2" xfId="0" applyAlignment="1">
      <x:alignment vertical="center"/>
    </x:xf>
    <x:xf numFmtId="0" fontId="14" fillId="45" borderId="18" xfId="0" applyAlignment="1">
      <x:alignment vertical="center"/>
    </x:xf>
    <x:xf numFmtId="0" fontId="10" fillId="45" borderId="15" xfId="0" applyAlignment="1">
      <x:alignment horizontal="center" vertical="center"/>
    </x:xf>
    <x:xf numFmtId="0" fontId="10" fillId="46" borderId="15" xfId="0" applyAlignment="1">
      <x:alignment horizontal="center" vertical="center"/>
    </x:xf>
    <x:xf numFmtId="0" fontId="0" fillId="46" borderId="0" xfId="0"/>
    <x:xf numFmtId="0" fontId="14" fillId="46" borderId="15" xfId="0" applyAlignment="1">
      <x:alignment horizontal="center" vertical="center"/>
    </x:xf>
    <x:xf numFmtId="0" fontId="14" fillId="46" borderId="0" xfId="0"/>
    <x:xf numFmtId="0" fontId="14" fillId="46" borderId="2" xfId="0"/>
    <x:xf numFmtId="0" fontId="14" fillId="46" borderId="18" xfId="0"/>
    <x:xf numFmtId="0" fontId="14" fillId="46" borderId="2" xfId="0" applyAlignment="1">
      <x:alignment vertical="center"/>
    </x:xf>
    <x:xf numFmtId="0" fontId="14" fillId="46" borderId="18" xfId="0" applyAlignment="1">
      <x:alignment vertical="center"/>
    </x:xf>
    <x:xf numFmtId="0" fontId="7" fillId="46" borderId="15" xfId="0" applyAlignment="1">
      <x:alignment horizontal="center" vertical="center"/>
    </x:xf>
    <x:xf numFmtId="0" fontId="4" fillId="42" borderId="15" xfId="0" applyAlignment="1">
      <x:alignment horizontal="center" vertical="center"/>
    </x:xf>
    <x:xf numFmtId="0" fontId="4" fillId="42" borderId="15" xfId="0" applyAlignment="1">
      <x:alignment horizontal="left" vertical="center"/>
    </x:xf>
    <x:xf numFmtId="3" fontId="4" fillId="40" borderId="18" xfId="0" applyAlignment="1">
      <x:alignment horizontal="left" vertical="center"/>
    </x:xf>
    <x:xf numFmtId="3" fontId="4" fillId="42" borderId="18" xfId="0" applyAlignment="1">
      <x:alignment horizontal="left" vertical="center"/>
    </x:xf>
    <x:xf numFmtId="3" fontId="14" fillId="43" borderId="15" xfId="0" applyAlignment="1">
      <x:alignment horizontal="center" vertical="center"/>
    </x:xf>
    <x:xf numFmtId="3" fontId="14" fillId="44" borderId="15" xfId="0" applyAlignment="1">
      <x:alignment horizontal="center" vertical="center"/>
    </x:xf>
    <x:xf numFmtId="3" fontId="14" fillId="45" borderId="15" xfId="0" applyAlignment="1">
      <x:alignment horizontal="center" vertical="center"/>
    </x:xf>
    <x:xf numFmtId="3" fontId="14" fillId="46" borderId="15" xfId="0" applyAlignment="1">
      <x:alignment horizontal="center" vertical="center"/>
    </x:xf>
    <x:xf numFmtId="3" fontId="4" fillId="42" borderId="15" xfId="0" applyAlignment="1">
      <x:alignment horizontal="left" vertical="center"/>
    </x:xf>
    <x:xf numFmtId="164" fontId="4" fillId="40" borderId="2" xfId="0" applyAlignment="1">
      <x:alignment horizontal="left" vertical="center"/>
    </x:xf>
    <x:xf numFmtId="164" fontId="4" fillId="42" borderId="2" xfId="0" applyAlignment="1">
      <x:alignment horizontal="left" vertical="center"/>
    </x:xf>
    <x:xf numFmtId="164" fontId="14" fillId="43" borderId="2" xfId="0" applyAlignment="1">
      <x:alignment vertical="center"/>
    </x:xf>
    <x:xf numFmtId="164" fontId="14" fillId="44" borderId="2" xfId="0" applyAlignment="1">
      <x:alignment vertical="center"/>
    </x:xf>
    <x:xf numFmtId="164" fontId="14" fillId="45" borderId="2" xfId="0" applyAlignment="1">
      <x:alignment vertical="center"/>
    </x:xf>
    <x:xf numFmtId="164" fontId="14" fillId="46" borderId="2" xfId="0" applyAlignment="1">
      <x:alignment vertical="center"/>
    </x:xf>
    <x:xf numFmtId="167" fontId="4" fillId="40" borderId="2" xfId="0" applyAlignment="1">
      <x:alignment horizontal="left" vertical="center"/>
    </x:xf>
    <x:xf numFmtId="167" fontId="4" fillId="42" borderId="2" xfId="0" applyAlignment="1">
      <x:alignment horizontal="left" vertical="center"/>
    </x:xf>
    <x:xf numFmtId="167" fontId="14" fillId="43" borderId="2" xfId="0" applyAlignment="1">
      <x:alignment vertical="center"/>
    </x:xf>
    <x:xf numFmtId="167" fontId="14" fillId="44" borderId="2" xfId="0" applyAlignment="1">
      <x:alignment vertical="center"/>
    </x:xf>
    <x:xf numFmtId="167" fontId="14" fillId="45" borderId="2" xfId="0" applyAlignment="1">
      <x:alignment vertical="center"/>
    </x:xf>
    <x:xf numFmtId="167" fontId="14" fillId="46" borderId="2" xfId="0" applyAlignment="1">
      <x:alignment vertical="center"/>
    </x:xf>
    <x:xf numFmtId="3" fontId="4" fillId="40" borderId="18" xfId="0" applyAlignment="1">
      <x:alignment horizontal="right" vertical="center"/>
    </x:xf>
    <x:xf numFmtId="164" fontId="4" fillId="40" borderId="2" xfId="0" applyAlignment="1">
      <x:alignment horizontal="right" vertical="center"/>
    </x:xf>
    <x:xf numFmtId="167" fontId="4" fillId="40" borderId="2" xfId="0" applyAlignment="1">
      <x:alignment horizontal="right" vertical="center"/>
    </x:xf>
    <x:xf numFmtId="3" fontId="4" fillId="42" borderId="18" xfId="0" applyAlignment="1">
      <x:alignment horizontal="right" vertical="center"/>
    </x:xf>
    <x:xf numFmtId="164" fontId="4" fillId="42" borderId="2" xfId="0" applyAlignment="1">
      <x:alignment horizontal="right" vertical="center"/>
    </x:xf>
    <x:xf numFmtId="167" fontId="4" fillId="42" borderId="2" xfId="0" applyAlignment="1">
      <x:alignment horizontal="right" vertical="center"/>
    </x:xf>
    <x:xf numFmtId="3" fontId="14" fillId="43" borderId="15" xfId="0" applyAlignment="1">
      <x:alignment horizontal="right" vertical="center"/>
    </x:xf>
    <x:xf numFmtId="164" fontId="14" fillId="43" borderId="2" xfId="0" applyAlignment="1">
      <x:alignment horizontal="right" vertical="center"/>
    </x:xf>
    <x:xf numFmtId="167" fontId="14" fillId="43" borderId="2" xfId="0" applyAlignment="1">
      <x:alignment horizontal="right" vertical="center"/>
    </x:xf>
    <x:xf numFmtId="3" fontId="14" fillId="44" borderId="15" xfId="0" applyAlignment="1">
      <x:alignment horizontal="right" vertical="center"/>
    </x:xf>
    <x:xf numFmtId="164" fontId="14" fillId="44" borderId="2" xfId="0" applyAlignment="1">
      <x:alignment horizontal="right" vertical="center"/>
    </x:xf>
    <x:xf numFmtId="167" fontId="14" fillId="44" borderId="2" xfId="0" applyAlignment="1">
      <x:alignment horizontal="right" vertical="center"/>
    </x:xf>
    <x:xf numFmtId="3" fontId="14" fillId="45" borderId="15" xfId="0" applyAlignment="1">
      <x:alignment horizontal="right" vertical="center"/>
    </x:xf>
    <x:xf numFmtId="164" fontId="14" fillId="45" borderId="2" xfId="0" applyAlignment="1">
      <x:alignment horizontal="right" vertical="center"/>
    </x:xf>
    <x:xf numFmtId="167" fontId="14" fillId="45" borderId="2" xfId="0" applyAlignment="1">
      <x:alignment horizontal="right" vertical="center"/>
    </x:xf>
    <x:xf numFmtId="3" fontId="14" fillId="46" borderId="15" xfId="0" applyAlignment="1">
      <x:alignment horizontal="right" vertical="center"/>
    </x:xf>
    <x:xf numFmtId="164" fontId="14" fillId="46" borderId="2" xfId="0" applyAlignment="1">
      <x:alignment horizontal="right" vertical="center"/>
    </x:xf>
    <x:xf numFmtId="167" fontId="14" fillId="46" borderId="2" xfId="0" applyAlignment="1">
      <x:alignment horizontal="right" vertical="center"/>
    </x:xf>
    <x:xf numFmtId="3" fontId="4" fillId="42" borderId="15" xfId="0" applyAlignment="1">
      <x:alignment horizontal="right" vertical="center"/>
    </x:xf>
    <x:xf numFmtId="0" fontId="4" fillId="40" borderId="2" xfId="0" applyAlignment="1">
      <x:alignment horizontal="center" vertical="center"/>
    </x:xf>
    <x:xf numFmtId="0" fontId="4" fillId="42" borderId="2" xfId="0" applyAlignment="1">
      <x:alignment horizontal="center" vertical="center"/>
    </x:xf>
    <x:xf numFmtId="0" fontId="14" fillId="43" borderId="2" xfId="0" applyAlignment="1">
      <x:alignment horizontal="center" vertical="center"/>
    </x:xf>
    <x:xf numFmtId="0" fontId="14" fillId="44" borderId="2" xfId="0" applyAlignment="1">
      <x:alignment horizontal="center" vertical="center"/>
    </x:xf>
    <x:xf numFmtId="0" fontId="14" fillId="45" borderId="2" xfId="0" applyAlignment="1">
      <x:alignment horizontal="center" vertical="center"/>
    </x:xf>
    <x:xf numFmtId="0" fontId="14" fillId="46" borderId="2" xfId="0" applyAlignment="1">
      <x:alignment horizontal="center" vertical="center"/>
    </x:xf>
    <x:xf numFmtId="0" fontId="4" fillId="41" borderId="14" xfId="0" applyAlignment="1">
      <x:alignment horizontal="left" vertical="center" wrapText="1"/>
    </x:xf>
    <x:xf numFmtId="0" fontId="14" fillId="43" borderId="18" xfId="0" applyAlignment="1">
      <x:alignment horizontal="left" vertical="center"/>
    </x:xf>
    <x:xf numFmtId="0" fontId="14" fillId="44" borderId="18" xfId="0" applyAlignment="1">
      <x:alignment horizontal="left" vertical="center"/>
    </x:xf>
    <x:xf numFmtId="0" fontId="14" fillId="45" borderId="18" xfId="0" applyAlignment="1">
      <x:alignment horizontal="left" vertical="center"/>
    </x:xf>
    <x:xf numFmtId="0" fontId="14" fillId="46" borderId="18" xfId="0" applyAlignment="1">
      <x:alignment horizontal="left" vertical="center"/>
    </x:xf>
    <x:xf numFmtId="0" fontId="4" fillId="41" borderId="14" xfId="0" applyAlignment="1">
      <x:alignment horizontal="left" vertical="center"/>
    </x:xf>
    <x:xf numFmtId="0" fontId="4" fillId="40" borderId="18" xfId="0" applyAlignment="1">
      <x:alignment horizontal="left" vertical="center"/>
    </x:xf>
    <x:xf numFmtId="0" fontId="4" fillId="42" borderId="18" xfId="0" applyAlignment="1">
      <x:alignment horizontal="left" vertical="center"/>
    </x:xf>
    <x:xf numFmtId="0" fontId="14" fillId="43" borderId="18" xfId="0" applyAlignment="1">
      <x:alignment horizontal="left" vertical="center"/>
    </x:xf>
    <x:xf numFmtId="0" fontId="14" fillId="44" borderId="18" xfId="0" applyAlignment="1">
      <x:alignment horizontal="left" vertical="center"/>
    </x:xf>
    <x:xf numFmtId="0" fontId="14" fillId="45" borderId="18" xfId="0" applyAlignment="1">
      <x:alignment horizontal="left" vertical="center"/>
    </x:xf>
    <x:xf numFmtId="0" fontId="14" fillId="46" borderId="18" xfId="0" applyAlignment="1">
      <x:alignment horizontal="left" vertical="center"/>
    </x:xf>
    <x:xf numFmtId="0" fontId="9" fillId="4" borderId="2" xfId="0" applyAlignment="1">
      <x:alignment horizontal="right" vertical="center"/>
    </x:xf>
    <x:xf numFmtId="164" fontId="14" fillId="47" borderId="2" xfId="0" applyAlignment="1">
      <x:alignment horizontal="right" vertical="center"/>
    </x:xf>
    <x:xf numFmtId="164" fontId="9" fillId="47" borderId="2" xfId="0" applyAlignment="1">
      <x:alignment horizontal="right" vertical="center"/>
    </x:xf>
    <x:xf numFmtId="0" fontId="9" fillId="5" borderId="2" xfId="0" applyAlignment="1">
      <x:alignment horizontal="right" vertical="center"/>
    </x:xf>
    <x:xf numFmtId="1" fontId="4" fillId="33" borderId="2" xfId="0" applyAlignment="1">
      <x:alignment horizontal="right" vertical="center"/>
    </x:xf>
    <x:xf numFmtId="3" fontId="4" fillId="33" borderId="16" xfId="0" applyAlignment="1">
      <x:alignment horizontal="right" vertical="center"/>
    </x:xf>
    <x:xf numFmtId="3" fontId="4" fillId="33" borderId="2" xfId="0" applyAlignment="1">
      <x:alignment horizontal="right" vertical="center"/>
    </x:xf>
    <x:xf numFmtId="166" fontId="4" fillId="33" borderId="18" xfId="0" applyAlignment="1">
      <x:alignment horizontal="right" vertical="center"/>
    </x:xf>
    <x:xf numFmtId="3" fontId="4" fillId="40" borderId="18" xfId="0" applyAlignment="1">
      <x:alignment horizontal="right" vertical="center"/>
    </x:xf>
    <x:xf numFmtId="167" fontId="4" fillId="40" borderId="2" xfId="0" applyAlignment="1">
      <x:alignment horizontal="right" vertical="center"/>
    </x:xf>
    <x:xf numFmtId="1" fontId="4" fillId="34" borderId="2" xfId="0" applyAlignment="1">
      <x:alignment horizontal="right" vertical="center"/>
    </x:xf>
    <x:xf numFmtId="3" fontId="4" fillId="34" borderId="16" xfId="0" applyAlignment="1">
      <x:alignment horizontal="right" vertical="center"/>
    </x:xf>
    <x:xf numFmtId="3" fontId="4" fillId="34" borderId="2" xfId="0" applyAlignment="1">
      <x:alignment horizontal="right" vertical="center"/>
    </x:xf>
    <x:xf numFmtId="166" fontId="4" fillId="34" borderId="18" xfId="0" applyAlignment="1">
      <x:alignment horizontal="right" vertical="center"/>
    </x:xf>
    <x:xf numFmtId="3" fontId="4" fillId="42" borderId="18" xfId="0" applyAlignment="1">
      <x:alignment horizontal="right" vertical="center"/>
    </x:xf>
    <x:xf numFmtId="167" fontId="4" fillId="42" borderId="2" xfId="0" applyAlignment="1">
      <x:alignment horizontal="right" vertical="center"/>
    </x:xf>
    <x:xf numFmtId="1" fontId="13" fillId="35" borderId="2" xfId="0" applyAlignment="1">
      <x:alignment horizontal="right" vertical="center"/>
    </x:xf>
    <x:xf numFmtId="3" fontId="13" fillId="35" borderId="16" xfId="0" applyAlignment="1">
      <x:alignment horizontal="right" vertical="center"/>
    </x:xf>
    <x:xf numFmtId="3" fontId="13" fillId="35" borderId="2" xfId="0" applyAlignment="1">
      <x:alignment horizontal="right" vertical="center"/>
    </x:xf>
    <x:xf numFmtId="166" fontId="13" fillId="35" borderId="18" xfId="0" applyAlignment="1">
      <x:alignment horizontal="right" vertical="center"/>
    </x:xf>
    <x:xf numFmtId="3" fontId="14" fillId="43" borderId="15" xfId="0" applyAlignment="1">
      <x:alignment horizontal="right" vertical="center"/>
    </x:xf>
    <x:xf numFmtId="167" fontId="14" fillId="43" borderId="2" xfId="0" applyAlignment="1">
      <x:alignment horizontal="right" vertical="center"/>
    </x:xf>
    <x:xf numFmtId="166" fontId="13" fillId="35" borderId="15" xfId="0" applyAlignment="1">
      <x:alignment horizontal="right" vertical="center"/>
    </x:xf>
    <x:xf numFmtId="1" fontId="13" fillId="36" borderId="2" xfId="0" applyAlignment="1">
      <x:alignment horizontal="right" vertical="center"/>
    </x:xf>
    <x:xf numFmtId="3" fontId="13" fillId="36" borderId="16" xfId="0" applyAlignment="1">
      <x:alignment horizontal="right" vertical="center"/>
    </x:xf>
    <x:xf numFmtId="3" fontId="13" fillId="36" borderId="2" xfId="0" applyAlignment="1">
      <x:alignment horizontal="right" vertical="center"/>
    </x:xf>
    <x:xf numFmtId="166" fontId="13" fillId="36" borderId="18" xfId="0" applyAlignment="1">
      <x:alignment horizontal="right" vertical="center"/>
    </x:xf>
    <x:xf numFmtId="3" fontId="14" fillId="44" borderId="15" xfId="0" applyAlignment="1">
      <x:alignment horizontal="right" vertical="center"/>
    </x:xf>
    <x:xf numFmtId="167" fontId="14" fillId="44" borderId="2" xfId="0" applyAlignment="1">
      <x:alignment horizontal="right" vertical="center"/>
    </x:xf>
    <x:xf numFmtId="166" fontId="13" fillId="36" borderId="15" xfId="0" applyAlignment="1">
      <x:alignment horizontal="right" vertical="center"/>
    </x:xf>
    <x:xf numFmtId="1" fontId="13" fillId="37" borderId="2" xfId="0" applyAlignment="1">
      <x:alignment horizontal="right" vertical="center"/>
    </x:xf>
    <x:xf numFmtId="3" fontId="13" fillId="37" borderId="16" xfId="0" applyAlignment="1">
      <x:alignment horizontal="right" vertical="center"/>
    </x:xf>
    <x:xf numFmtId="3" fontId="13" fillId="37" borderId="2" xfId="0" applyAlignment="1">
      <x:alignment horizontal="right" vertical="center"/>
    </x:xf>
    <x:xf numFmtId="166" fontId="13" fillId="37" borderId="18" xfId="0" applyAlignment="1">
      <x:alignment horizontal="right" vertical="center"/>
    </x:xf>
    <x:xf numFmtId="3" fontId="14" fillId="45" borderId="15" xfId="0" applyAlignment="1">
      <x:alignment horizontal="right" vertical="center"/>
    </x:xf>
    <x:xf numFmtId="167" fontId="14" fillId="45" borderId="2" xfId="0" applyAlignment="1">
      <x:alignment horizontal="right" vertical="center"/>
    </x:xf>
    <x:xf numFmtId="166" fontId="13" fillId="37" borderId="15" xfId="0" applyAlignment="1">
      <x:alignment horizontal="right" vertical="center"/>
    </x:xf>
    <x:xf numFmtId="1" fontId="13" fillId="38" borderId="2" xfId="0" applyAlignment="1">
      <x:alignment horizontal="right" vertical="center"/>
    </x:xf>
    <x:xf numFmtId="3" fontId="13" fillId="38" borderId="16" xfId="0" applyAlignment="1">
      <x:alignment horizontal="right" vertical="center"/>
    </x:xf>
    <x:xf numFmtId="166" fontId="13" fillId="38" borderId="18" xfId="0" applyAlignment="1">
      <x:alignment horizontal="right" vertical="center"/>
    </x:xf>
    <x:xf numFmtId="3" fontId="14" fillId="46" borderId="15" xfId="0" applyAlignment="1">
      <x:alignment horizontal="right" vertical="center"/>
    </x:xf>
    <x:xf numFmtId="167" fontId="14" fillId="46" borderId="2" xfId="0" applyAlignment="1">
      <x:alignment horizontal="right" vertical="center"/>
    </x:xf>
    <x:xf numFmtId="166" fontId="13" fillId="38" borderId="15" xfId="0" applyAlignment="1">
      <x:alignment horizontal="right" vertical="center"/>
    </x:xf>
    <x:xf numFmtId="3" fontId="4" fillId="42" borderId="15" xfId="0" applyAlignment="1">
      <x:alignment horizontal="right" vertical="center"/>
    </x:xf>
    <x:xf numFmtId="166" fontId="4" fillId="34" borderId="15" xfId="0" applyAlignment="1">
      <x:alignment horizontal="right" vertical="center"/>
    </x:xf>
    <x:xf numFmtId="0" fontId="11" fillId="0" borderId="1" xfId="0" applyAlignment="1">
      <x:alignment vertical="center"/>
    </x:xf>
    <x:xf numFmtId="0" fontId="11" fillId="0" borderId="0" xfId="0"/>
    <x:xf numFmtId="0" fontId="12" fillId="0" borderId="3" xfId="0" applyAlignment="1">
      <x:alignment horizontal="left" vertical="center"/>
    </x:xf>
    <x:xf numFmtId="0" fontId="11" fillId="0" borderId="3" xfId="0"/>
    <x:xf numFmtId="0" fontId="11" fillId="0" borderId="2" xfId="0" applyAlignment="1">
      <x:alignment vertical="center"/>
    </x:xf>
    <x:xf numFmtId="0" fontId="15" fillId="0" borderId="2" xfId="0" applyAlignment="1">
      <x:alignment horizontal="left" vertical="center"/>
    </x:xf>
    <x:xf numFmtId="0" fontId="11" fillId="0" borderId="2" xfId="0"/>
    <x:xf numFmtId="0" fontId="12" fillId="2" borderId="4" xfId="0" applyAlignment="1">
      <x:alignment horizontal="center" vertical="center"/>
    </x:xf>
    <x:xf numFmtId="0" fontId="11" fillId="0" borderId="5" xfId="0"/>
    <x:xf numFmtId="0" fontId="12" fillId="2" borderId="6" xfId="0" applyAlignment="1">
      <x:alignment horizontal="center" vertical="center"/>
    </x:xf>
    <x:xf numFmtId="0" fontId="11" fillId="0" borderId="6" xfId="0"/>
    <x:xf numFmtId="0" fontId="12" fillId="2" borderId="5" xfId="0" applyAlignment="1">
      <x:alignment horizontal="center" vertical="center"/>
    </x:xf>
    <x:xf numFmtId="0" fontId="12" fillId="2" borderId="14" xfId="0" applyAlignment="1">
      <x:alignment horizontal="center" vertical="center"/>
    </x:xf>
    <x:xf numFmtId="0" fontId="12" fillId="3" borderId="4" xfId="0" applyAlignment="1">
      <x:alignment horizontal="center" vertical="center" wrapText="1"/>
    </x:xf>
    <x:xf numFmtId="0" fontId="12" fillId="3" borderId="5" xfId="0" applyAlignment="1">
      <x:alignment horizontal="center" vertical="center" wrapText="1"/>
    </x:xf>
    <x:xf numFmtId="0" fontId="12" fillId="3" borderId="14" xfId="0" applyAlignment="1">
      <x:alignment horizontal="center" vertical="center" wrapText="1"/>
    </x:xf>
    <x:xf numFmtId="0" fontId="12" fillId="3" borderId="14" xfId="0" applyAlignment="1">
      <x:alignment horizontal="left" vertical="center"/>
    </x:xf>
    <x:xf numFmtId="0" fontId="12" fillId="2" borderId="16" xfId="0" applyAlignment="1">
      <x:alignment horizontal="left" vertical="center"/>
    </x:xf>
    <x:xf numFmtId="0" fontId="12" fillId="2" borderId="2" xfId="0" applyAlignment="1">
      <x:alignment horizontal="right" vertical="center"/>
    </x:xf>
    <x:xf numFmtId="1" fontId="12" fillId="2" borderId="2" xfId="0" applyAlignment="1">
      <x:alignment horizontal="right" vertical="center"/>
    </x:xf>
    <x:xf numFmtId="3" fontId="12" fillId="2" borderId="16" xfId="0" applyAlignment="1">
      <x:alignment horizontal="right" vertical="center"/>
    </x:xf>
    <x:xf numFmtId="164" fontId="12" fillId="2" borderId="2" xfId="0" applyAlignment="1">
      <x:alignment horizontal="right" vertical="center"/>
    </x:xf>
    <x:xf numFmtId="3" fontId="12" fillId="2" borderId="2" xfId="0" applyAlignment="1">
      <x:alignment horizontal="right" vertical="center"/>
    </x:xf>
    <x:xf numFmtId="166" fontId="12" fillId="2" borderId="18" xfId="0" applyAlignment="1">
      <x:alignment horizontal="right" vertical="center"/>
    </x:xf>
    <x:xf numFmtId="165" fontId="12" fillId="2" borderId="2" xfId="0" applyAlignment="1">
      <x:alignment horizontal="right" vertical="center"/>
    </x:xf>
    <x:xf numFmtId="164" fontId="12" fillId="2" borderId="17" xfId="0" applyAlignment="1">
      <x:alignment horizontal="center" vertical="center"/>
    </x:xf>
    <x:xf numFmtId="164" fontId="12" fillId="2" borderId="15" xfId="0" applyAlignment="1">
      <x:alignment vertical="center"/>
    </x:xf>
    <x:xf numFmtId="165" fontId="12" fillId="2" borderId="2" xfId="0" applyAlignment="1">
      <x:alignment vertical="center"/>
    </x:xf>
    <x:xf numFmtId="3" fontId="12" fillId="2" borderId="18" xfId="0" applyAlignment="1">
      <x:alignment horizontal="right" vertical="center"/>
    </x:xf>
    <x:xf numFmtId="167" fontId="12" fillId="2" borderId="2" xfId="0" applyAlignment="1">
      <x:alignment horizontal="right" vertical="center"/>
    </x:xf>
    <x:xf numFmtId="0" fontId="12" fillId="2" borderId="2" xfId="0" applyAlignment="1">
      <x:alignment horizontal="center" vertical="center"/>
    </x:xf>
    <x:xf numFmtId="0" fontId="12" fillId="2" borderId="18" xfId="0" applyAlignment="1">
      <x:alignment horizontal="left" vertical="center"/>
    </x:xf>
    <x:xf numFmtId="0" fontId="12" fillId="8" borderId="16" xfId="0" applyAlignment="1">
      <x:alignment horizontal="left" vertical="center"/>
    </x:xf>
    <x:xf numFmtId="0" fontId="12" fillId="8" borderId="2" xfId="0" applyAlignment="1">
      <x:alignment horizontal="right" vertical="center"/>
    </x:xf>
    <x:xf numFmtId="1" fontId="12" fillId="8" borderId="2" xfId="0" applyAlignment="1">
      <x:alignment horizontal="right" vertical="center"/>
    </x:xf>
    <x:xf numFmtId="3" fontId="12" fillId="8" borderId="16" xfId="0" applyAlignment="1">
      <x:alignment horizontal="right" vertical="center"/>
    </x:xf>
    <x:xf numFmtId="164" fontId="12" fillId="8" borderId="2" xfId="0" applyAlignment="1">
      <x:alignment horizontal="right" vertical="center"/>
    </x:xf>
    <x:xf numFmtId="3" fontId="12" fillId="8" borderId="2" xfId="0" applyAlignment="1">
      <x:alignment horizontal="right" vertical="center"/>
    </x:xf>
    <x:xf numFmtId="166" fontId="12" fillId="8" borderId="18" xfId="0" applyAlignment="1">
      <x:alignment horizontal="right" vertical="center"/>
    </x:xf>
    <x:xf numFmtId="165" fontId="12" fillId="8" borderId="2" xfId="0" applyAlignment="1">
      <x:alignment horizontal="right" vertical="center"/>
    </x:xf>
    <x:xf numFmtId="164" fontId="12" fillId="8" borderId="2" xfId="0" applyAlignment="1">
      <x:alignment horizontal="center" vertical="center"/>
    </x:xf>
    <x:xf numFmtId="164" fontId="12" fillId="8" borderId="15" xfId="0" applyAlignment="1">
      <x:alignment vertical="center"/>
    </x:xf>
    <x:xf numFmtId="165" fontId="12" fillId="8" borderId="2" xfId="0" applyAlignment="1">
      <x:alignment vertical="center"/>
    </x:xf>
    <x:xf numFmtId="3" fontId="12" fillId="8" borderId="18" xfId="0" applyAlignment="1">
      <x:alignment horizontal="right" vertical="center"/>
    </x:xf>
    <x:xf numFmtId="167" fontId="12" fillId="8" borderId="2" xfId="0" applyAlignment="1">
      <x:alignment horizontal="right" vertical="center"/>
    </x:xf>
    <x:xf numFmtId="0" fontId="12" fillId="8" borderId="2" xfId="0" applyAlignment="1">
      <x:alignment horizontal="center" vertical="center"/>
    </x:xf>
    <x:xf numFmtId="0" fontId="12" fillId="8" borderId="18" xfId="0" applyAlignment="1">
      <x:alignment horizontal="left" vertical="center"/>
    </x:xf>
    <x:xf numFmtId="0" fontId="11" fillId="4" borderId="16" xfId="0" applyAlignment="1">
      <x:alignment horizontal="right" vertical="center"/>
    </x:xf>
    <x:xf numFmtId="0" fontId="11" fillId="4" borderId="2" xfId="0" applyAlignment="1">
      <x:alignment horizontal="right" vertical="center"/>
    </x:xf>
    <x:xf numFmtId="1" fontId="11" fillId="4" borderId="2" xfId="0" applyAlignment="1">
      <x:alignment horizontal="right" vertical="center"/>
    </x:xf>
    <x:xf numFmtId="3" fontId="11" fillId="4" borderId="16" xfId="0" applyAlignment="1">
      <x:alignment horizontal="right" vertical="center"/>
    </x:xf>
    <x:xf numFmtId="164" fontId="11" fillId="4" borderId="2" xfId="0" applyAlignment="1">
      <x:alignment horizontal="right" vertical="center"/>
    </x:xf>
    <x:xf numFmtId="3" fontId="11" fillId="4" borderId="2" xfId="0" applyAlignment="1">
      <x:alignment horizontal="right" vertical="center"/>
    </x:xf>
    <x:xf numFmtId="166" fontId="11" fillId="4" borderId="18" xfId="0" applyAlignment="1">
      <x:alignment horizontal="right" vertical="center"/>
    </x:xf>
    <x:xf numFmtId="165" fontId="11" fillId="4" borderId="2" xfId="0" applyAlignment="1">
      <x:alignment horizontal="right" vertical="center"/>
    </x:xf>
    <x:xf numFmtId="164" fontId="11" fillId="4" borderId="15" xfId="0" applyAlignment="1">
      <x:alignment horizontal="right" vertical="center"/>
    </x:xf>
    <x:xf numFmtId="165" fontId="11" fillId="4" borderId="18" xfId="0" applyAlignment="1">
      <x:alignment horizontal="right" vertical="center"/>
    </x:xf>
    <x:xf numFmtId="3" fontId="11" fillId="4" borderId="15" xfId="0" applyAlignment="1">
      <x:alignment horizontal="right" vertical="center"/>
    </x:xf>
    <x:xf numFmtId="167" fontId="11" fillId="4" borderId="2" xfId="0" applyAlignment="1">
      <x:alignment horizontal="right" vertical="center"/>
    </x:xf>
    <x:xf numFmtId="0" fontId="11" fillId="4" borderId="2" xfId="0" applyAlignment="1">
      <x:alignment horizontal="center" vertical="center"/>
    </x:xf>
    <x:xf numFmtId="0" fontId="11" fillId="4" borderId="18" xfId="0" applyAlignment="1">
      <x:alignment horizontal="left" vertical="center"/>
    </x:xf>
    <x:xf numFmtId="0" fontId="12" fillId="4" borderId="16" xfId="0" applyAlignment="1">
      <x:alignment horizontal="right" vertical="center"/>
    </x:xf>
    <x:xf numFmtId="0" fontId="12" fillId="4" borderId="2" xfId="0" applyAlignment="1">
      <x:alignment horizontal="right" vertical="center"/>
    </x:xf>
    <x:xf numFmtId="0" fontId="12" fillId="4" borderId="18" xfId="0" applyAlignment="1">
      <x:alignment horizontal="right" vertical="center"/>
    </x:xf>
    <x:xf numFmtId="164" fontId="12" fillId="9" borderId="15" xfId="0" applyAlignment="1">
      <x:alignment horizontal="right" vertical="center"/>
    </x:xf>
    <x:xf numFmtId="166" fontId="11" fillId="4" borderId="15" xfId="0" applyAlignment="1">
      <x:alignment horizontal="right" vertical="center"/>
    </x:xf>
    <x:xf numFmtId="164" fontId="12" fillId="9" borderId="2" xfId="0" applyAlignment="1">
      <x:alignment horizontal="right" vertical="center"/>
    </x:xf>
    <x:xf numFmtId="0" fontId="11" fillId="5" borderId="16" xfId="0" applyAlignment="1">
      <x:alignment horizontal="right" vertical="center"/>
    </x:xf>
    <x:xf numFmtId="0" fontId="11" fillId="5" borderId="2" xfId="0" applyAlignment="1">
      <x:alignment horizontal="right" vertical="center"/>
    </x:xf>
    <x:xf numFmtId="1" fontId="11" fillId="5" borderId="2" xfId="0" applyAlignment="1">
      <x:alignment horizontal="right" vertical="center"/>
    </x:xf>
    <x:xf numFmtId="3" fontId="11" fillId="5" borderId="16" xfId="0" applyAlignment="1">
      <x:alignment horizontal="right" vertical="center"/>
    </x:xf>
    <x:xf numFmtId="164" fontId="11" fillId="5" borderId="2" xfId="0" applyAlignment="1">
      <x:alignment horizontal="right" vertical="center"/>
    </x:xf>
    <x:xf numFmtId="3" fontId="11" fillId="5" borderId="2" xfId="0" applyAlignment="1">
      <x:alignment horizontal="right" vertical="center"/>
    </x:xf>
    <x:xf numFmtId="166" fontId="11" fillId="5" borderId="18" xfId="0" applyAlignment="1">
      <x:alignment horizontal="right" vertical="center"/>
    </x:xf>
    <x:xf numFmtId="165" fontId="11" fillId="5" borderId="2" xfId="0" applyAlignment="1">
      <x:alignment horizontal="right" vertical="center"/>
    </x:xf>
    <x:xf numFmtId="164" fontId="11" fillId="5" borderId="15" xfId="0" applyAlignment="1">
      <x:alignment horizontal="right" vertical="center"/>
    </x:xf>
    <x:xf numFmtId="165" fontId="11" fillId="5" borderId="18" xfId="0" applyAlignment="1">
      <x:alignment horizontal="right" vertical="center"/>
    </x:xf>
    <x:xf numFmtId="3" fontId="11" fillId="5" borderId="15" xfId="0" applyAlignment="1">
      <x:alignment horizontal="right" vertical="center"/>
    </x:xf>
    <x:xf numFmtId="167" fontId="11" fillId="5" borderId="2" xfId="0" applyAlignment="1">
      <x:alignment horizontal="right" vertical="center"/>
    </x:xf>
    <x:xf numFmtId="0" fontId="11" fillId="5" borderId="2" xfId="0" applyAlignment="1">
      <x:alignment horizontal="center" vertical="center"/>
    </x:xf>
    <x:xf numFmtId="0" fontId="11" fillId="5" borderId="18" xfId="0" applyAlignment="1">
      <x:alignment horizontal="left" vertical="center"/>
    </x:xf>
    <x:xf numFmtId="0" fontId="12" fillId="5" borderId="2" xfId="0" applyAlignment="1">
      <x:alignment horizontal="right" vertical="center"/>
    </x:xf>
    <x:xf numFmtId="0" fontId="12" fillId="5" borderId="16" xfId="0" applyAlignment="1">
      <x:alignment horizontal="right" vertical="center"/>
    </x:xf>
    <x:xf numFmtId="0" fontId="12" fillId="5" borderId="18" xfId="0" applyAlignment="1">
      <x:alignment horizontal="right" vertical="center"/>
    </x:xf>
    <x:xf numFmtId="166" fontId="11" fillId="5" borderId="15" xfId="0" applyAlignment="1">
      <x:alignment horizontal="right" vertical="center"/>
    </x:xf>
    <x:xf numFmtId="0" fontId="11" fillId="6" borderId="16" xfId="0" applyAlignment="1">
      <x:alignment horizontal="right" vertical="center"/>
    </x:xf>
    <x:xf numFmtId="0" fontId="11" fillId="6" borderId="2" xfId="0" applyAlignment="1">
      <x:alignment horizontal="right" vertical="center"/>
    </x:xf>
    <x:xf numFmtId="1" fontId="11" fillId="6" borderId="2" xfId="0" applyAlignment="1">
      <x:alignment horizontal="right" vertical="center"/>
    </x:xf>
    <x:xf numFmtId="3" fontId="11" fillId="6" borderId="16" xfId="0" applyAlignment="1">
      <x:alignment horizontal="right" vertical="center"/>
    </x:xf>
    <x:xf numFmtId="164" fontId="11" fillId="6" borderId="2" xfId="0" applyAlignment="1">
      <x:alignment horizontal="right" vertical="center"/>
    </x:xf>
    <x:xf numFmtId="3" fontId="11" fillId="6" borderId="2" xfId="0" applyAlignment="1">
      <x:alignment horizontal="right" vertical="center"/>
    </x:xf>
    <x:xf numFmtId="166" fontId="11" fillId="6" borderId="18" xfId="0" applyAlignment="1">
      <x:alignment horizontal="right" vertical="center"/>
    </x:xf>
    <x:xf numFmtId="165" fontId="11" fillId="6" borderId="2" xfId="0" applyAlignment="1">
      <x:alignment horizontal="right" vertical="center"/>
    </x:xf>
    <x:xf numFmtId="164" fontId="11" fillId="6" borderId="15" xfId="0" applyAlignment="1">
      <x:alignment horizontal="right" vertical="center"/>
    </x:xf>
    <x:xf numFmtId="165" fontId="11" fillId="6" borderId="18" xfId="0" applyAlignment="1">
      <x:alignment horizontal="right" vertical="center"/>
    </x:xf>
    <x:xf numFmtId="3" fontId="11" fillId="6" borderId="15" xfId="0" applyAlignment="1">
      <x:alignment horizontal="right" vertical="center"/>
    </x:xf>
    <x:xf numFmtId="167" fontId="11" fillId="6" borderId="2" xfId="0" applyAlignment="1">
      <x:alignment horizontal="right" vertical="center"/>
    </x:xf>
    <x:xf numFmtId="0" fontId="11" fillId="6" borderId="2" xfId="0" applyAlignment="1">
      <x:alignment horizontal="center" vertical="center"/>
    </x:xf>
    <x:xf numFmtId="0" fontId="11" fillId="6" borderId="18" xfId="0" applyAlignment="1">
      <x:alignment horizontal="left" vertical="center"/>
    </x:xf>
    <x:xf numFmtId="0" fontId="12" fillId="6" borderId="16" xfId="0" applyAlignment="1">
      <x:alignment horizontal="right" vertical="center"/>
    </x:xf>
    <x:xf numFmtId="0" fontId="12" fillId="6" borderId="2" xfId="0" applyAlignment="1">
      <x:alignment horizontal="right" vertical="center"/>
    </x:xf>
    <x:xf numFmtId="0" fontId="12" fillId="6" borderId="18" xfId="0" applyAlignment="1">
      <x:alignment horizontal="right" vertical="center"/>
    </x:xf>
    <x:xf numFmtId="166" fontId="11" fillId="6" borderId="15" xfId="0" applyAlignment="1">
      <x:alignment horizontal="right" vertical="center"/>
    </x:xf>
    <x:xf numFmtId="0" fontId="11" fillId="7" borderId="16" xfId="0" applyAlignment="1">
      <x:alignment horizontal="right" vertical="center"/>
    </x:xf>
    <x:xf numFmtId="0" fontId="11" fillId="7" borderId="2" xfId="0" applyAlignment="1">
      <x:alignment horizontal="right" vertical="center"/>
    </x:xf>
    <x:xf numFmtId="1" fontId="11" fillId="7" borderId="2" xfId="0" applyAlignment="1">
      <x:alignment horizontal="right" vertical="center"/>
    </x:xf>
    <x:xf numFmtId="3" fontId="11" fillId="7" borderId="16" xfId="0" applyAlignment="1">
      <x:alignment horizontal="right" vertical="center"/>
    </x:xf>
    <x:xf numFmtId="164" fontId="11" fillId="7" borderId="2" xfId="0" applyAlignment="1">
      <x:alignment horizontal="right" vertical="center"/>
    </x:xf>
    <x:xf numFmtId="3" fontId="11" fillId="7" borderId="2" xfId="0" applyAlignment="1">
      <x:alignment horizontal="right" vertical="center"/>
    </x:xf>
    <x:xf numFmtId="166" fontId="11" fillId="7" borderId="18" xfId="0" applyAlignment="1">
      <x:alignment horizontal="right" vertical="center"/>
    </x:xf>
    <x:xf numFmtId="165" fontId="11" fillId="7" borderId="2" xfId="0" applyAlignment="1">
      <x:alignment horizontal="right" vertical="center"/>
    </x:xf>
    <x:xf numFmtId="164" fontId="11" fillId="7" borderId="15" xfId="0" applyAlignment="1">
      <x:alignment horizontal="right" vertical="center"/>
    </x:xf>
    <x:xf numFmtId="165" fontId="11" fillId="7" borderId="18" xfId="0" applyAlignment="1">
      <x:alignment horizontal="right" vertical="center"/>
    </x:xf>
    <x:xf numFmtId="3" fontId="11" fillId="7" borderId="15" xfId="0" applyAlignment="1">
      <x:alignment horizontal="right" vertical="center"/>
    </x:xf>
    <x:xf numFmtId="167" fontId="11" fillId="7" borderId="2" xfId="0" applyAlignment="1">
      <x:alignment horizontal="right" vertical="center"/>
    </x:xf>
    <x:xf numFmtId="0" fontId="11" fillId="7" borderId="2" xfId="0" applyAlignment="1">
      <x:alignment horizontal="center" vertical="center"/>
    </x:xf>
    <x:xf numFmtId="0" fontId="11" fillId="7" borderId="18" xfId="0" applyAlignment="1">
      <x:alignment horizontal="left" vertical="center"/>
    </x:xf>
    <x:xf numFmtId="166" fontId="11" fillId="7" borderId="15" xfId="0" applyAlignment="1">
      <x:alignment horizontal="right" vertical="center"/>
    </x:xf>
    <x:xf numFmtId="0" fontId="12" fillId="7" borderId="16" xfId="0" applyAlignment="1">
      <x:alignment horizontal="right" vertical="center"/>
    </x:xf>
    <x:xf numFmtId="0" fontId="12" fillId="7" borderId="2" xfId="0" applyAlignment="1">
      <x:alignment horizontal="right" vertical="center"/>
    </x:xf>
    <x:xf numFmtId="0" fontId="12" fillId="7" borderId="18" xfId="0" applyAlignment="1">
      <x:alignment horizontal="right" vertical="center"/>
    </x:xf>
    <x:xf numFmtId="164" fontId="12" fillId="8" borderId="15" xfId="0" applyAlignment="1">
      <x:alignment horizontal="right" vertical="center"/>
    </x:xf>
    <x:xf numFmtId="3" fontId="12" fillId="8" borderId="15" xfId="0" applyAlignment="1">
      <x:alignment horizontal="right" vertical="center"/>
    </x:xf>
    <x:xf numFmtId="164" fontId="11" fillId="5" borderId="17" xfId="0" applyAlignment="1">
      <x:alignment horizontal="right" vertical="center"/>
    </x:xf>
    <x:xf numFmtId="164" fontId="12" fillId="2" borderId="2" xfId="0" applyAlignment="1">
      <x:alignment horizontal="center" vertical="center"/>
    </x:xf>
    <x:xf numFmtId="164" fontId="11" fillId="7" borderId="17" xfId="0" applyAlignment="1">
      <x:alignment horizontal="right" vertical="center"/>
    </x:xf>
    <x:xf numFmtId="166" fontId="12" fillId="8" borderId="15" xfId="0" applyAlignment="1">
      <x:alignment horizontal="right" vertical="center"/>
    </x:xf>
    <x:xf numFmtId="0" fontId="11" fillId="7" borderId="18" xfId="0" applyAlignment="1">
      <x:alignment horizontal="right" vertical="center"/>
    </x:xf>
    <x:xf numFmtId="0" fontId="11" fillId="0" borderId="0" xfId="0" applyAlignment="1">
      <x:alignment vertical="center"/>
    </x:xf>
    <x:xf numFmtId="0" fontId="11" fillId="0" borderId="3" xfId="0" applyAlignment="1">
      <x:alignment vertical="center"/>
    </x:xf>
    <x:xf numFmtId="0" fontId="11" fillId="0" borderId="5" xfId="0" applyAlignment="1">
      <x:alignment vertical="center"/>
    </x:xf>
    <x:xf numFmtId="0" fontId="11" fillId="0" borderId="6" xfId="0" applyAlignment="1">
      <x:alignment vertical="center"/>
    </x:xf>
    <x:xf numFmtId="0" fontId="12" fillId="48" borderId="3" xfId="0" applyAlignment="1">
      <x:alignment horizontal="left" vertical="center"/>
    </x:xf>
    <x:xf numFmtId="0" fontId="11" fillId="48" borderId="3" xfId="0" applyAlignment="1">
      <x:alignment vertical="center"/>
    </x:xf>
    <x:xf numFmtId="0" fontId="2" fillId="48" borderId="3" xfId="0" applyAlignment="1">
      <x:alignment horizontal="left" vertical="center"/>
    </x:xf>
    <x:xf numFmtId="0" fontId="2" fillId="48" borderId="3" xfId="0" applyAlignment="1">
      <x:alignment vertical="center"/>
    </x:xf>
    <x:xf numFmtId="0" fontId="15" fillId="48" borderId="2" xfId="0" applyAlignment="1">
      <x:alignment horizontal="left" vertical="center"/>
    </x:xf>
    <x:xf numFmtId="0" fontId="11" fillId="48" borderId="2" xfId="0" applyAlignment="1">
      <x:alignment vertical="center"/>
    </x:xf>
    <x:xf numFmtId="0" fontId="3" fillId="48" borderId="2" xfId="0" applyAlignment="1">
      <x:alignment horizontal="left" vertical="center"/>
    </x:xf>
    <x:xf numFmtId="0" fontId="3" fillId="48" borderId="2" xfId="0" applyAlignment="1">
      <x:alignment vertical="center"/>
    </x:xf>
    <x:xf numFmtId="0" fontId="12" fillId="49" borderId="4" xfId="0" applyAlignment="1">
      <x:alignment horizontal="center" vertical="center"/>
    </x:xf>
    <x:xf numFmtId="0" fontId="11" fillId="49" borderId="5" xfId="0" applyAlignment="1">
      <x:alignment vertical="center"/>
    </x:xf>
    <x:xf numFmtId="0" fontId="12" fillId="49" borderId="6" xfId="0" applyAlignment="1">
      <x:alignment horizontal="center" vertical="center"/>
    </x:xf>
    <x:xf numFmtId="0" fontId="11" fillId="49" borderId="6" xfId="0" applyAlignment="1">
      <x:alignment vertical="center"/>
    </x:xf>
    <x:xf numFmtId="0" fontId="12" fillId="49" borderId="5" xfId="0" applyAlignment="1">
      <x:alignment horizontal="center" vertical="center"/>
    </x:xf>
    <x:xf numFmtId="0" fontId="12" fillId="49" borderId="14" xfId="0" applyAlignment="1">
      <x:alignment horizontal="center" vertical="center"/>
    </x:xf>
    <x:xf numFmtId="0" fontId="4" fillId="49" borderId="4" xfId="0" applyAlignment="1">
      <x:alignment horizontal="center" vertical="center"/>
    </x:xf>
    <x:xf numFmtId="0" fontId="4" fillId="49" borderId="5" xfId="0" applyAlignment="1">
      <x:alignment vertical="center"/>
    </x:xf>
    <x:xf numFmtId="0" fontId="4" fillId="49" borderId="6" xfId="0" applyAlignment="1">
      <x:alignment horizontal="center" vertical="center"/>
    </x:xf>
    <x:xf numFmtId="0" fontId="4" fillId="49" borderId="6" xfId="0" applyAlignment="1">
      <x:alignment vertical="center"/>
    </x:xf>
    <x:xf numFmtId="0" fontId="4" fillId="49" borderId="5" xfId="0" applyAlignment="1">
      <x:alignment horizontal="center" vertical="center"/>
    </x:xf>
    <x:xf numFmtId="0" fontId="4" fillId="49" borderId="14" xfId="0" applyAlignment="1">
      <x:alignment horizontal="center" vertical="center"/>
    </x:xf>
    <x:xf numFmtId="0" fontId="4" fillId="49" borderId="15" xfId="0" applyAlignment="1">
      <x:alignment horizontal="center" vertical="center"/>
    </x:xf>
    <x:xf numFmtId="0" fontId="4" fillId="49" borderId="15" xfId="0" applyAlignment="1">
      <x:alignment vertical="center"/>
    </x:xf>
    <x:xf numFmtId="0" fontId="4" fillId="49" borderId="15" xfId="0" applyAlignment="1">
      <x:alignment horizontal="center" vertical="center" wrapText="1"/>
    </x:xf>
    <x:xf numFmtId="0" fontId="4" fillId="49" borderId="15" xfId="0" applyAlignment="1">
      <x:alignment vertical="center" wrapText="1"/>
    </x:xf>
    <x:xf numFmtId="0" fontId="12" fillId="50" borderId="4" xfId="0" applyAlignment="1">
      <x:alignment horizontal="center" vertical="center" wrapText="1"/>
    </x:xf>
    <x:xf numFmtId="0" fontId="12" fillId="50" borderId="5" xfId="0" applyAlignment="1">
      <x:alignment horizontal="center" vertical="center" wrapText="1"/>
    </x:xf>
    <x:xf numFmtId="0" fontId="12" fillId="50" borderId="14" xfId="0" applyAlignment="1">
      <x:alignment horizontal="center" vertical="center" wrapText="1"/>
    </x:xf>
    <x:xf numFmtId="0" fontId="12" fillId="50" borderId="14" xfId="0" applyAlignment="1">
      <x:alignment horizontal="left" vertical="center"/>
    </x:xf>
    <x:xf numFmtId="0" fontId="16" fillId="50" borderId="4" xfId="0" applyAlignment="1">
      <x:alignment horizontal="center" vertical="center" wrapText="1"/>
    </x:xf>
    <x:xf numFmtId="0" fontId="16" fillId="50" borderId="5" xfId="0" applyAlignment="1">
      <x:alignment horizontal="center" vertical="center" wrapText="1"/>
    </x:xf>
    <x:xf numFmtId="0" fontId="16" fillId="50" borderId="14" xfId="0" applyAlignment="1">
      <x:alignment horizontal="center" vertical="center" wrapText="1"/>
    </x:xf>
    <x:xf numFmtId="0" fontId="16" fillId="50" borderId="14" xfId="0" applyAlignment="1">
      <x:alignment horizontal="left" vertical="center"/>
    </x:xf>
    <x:xf numFmtId="0" fontId="16" fillId="50" borderId="15" xfId="0" applyAlignment="1">
      <x:alignment horizontal="center" vertical="center" wrapText="1"/>
    </x:xf>
    <x:xf numFmtId="0" fontId="16" fillId="50" borderId="15" xfId="0" applyAlignment="1">
      <x:alignment horizontal="left" vertical="center"/>
    </x:xf>
    <x:xf numFmtId="0" fontId="16" fillId="50" borderId="15" xfId="0" applyAlignment="1">
      <x:alignment horizontal="left" vertical="center" wrapText="1"/>
    </x:xf>
    <x:xf numFmtId="0" fontId="12" fillId="49" borderId="16" xfId="0" applyAlignment="1">
      <x:alignment horizontal="left" vertical="center"/>
    </x:xf>
    <x:xf numFmtId="0" fontId="12" fillId="49" borderId="2" xfId="0" applyAlignment="1">
      <x:alignment horizontal="right" vertical="center"/>
    </x:xf>
    <x:xf numFmtId="1" fontId="12" fillId="49" borderId="2" xfId="0" applyAlignment="1">
      <x:alignment horizontal="right" vertical="center"/>
    </x:xf>
    <x:xf numFmtId="3" fontId="12" fillId="49" borderId="16" xfId="0" applyAlignment="1">
      <x:alignment horizontal="right" vertical="center"/>
    </x:xf>
    <x:xf numFmtId="164" fontId="12" fillId="49" borderId="2" xfId="0" applyAlignment="1">
      <x:alignment horizontal="right" vertical="center"/>
    </x:xf>
    <x:xf numFmtId="3" fontId="12" fillId="49" borderId="2" xfId="0" applyAlignment="1">
      <x:alignment horizontal="right" vertical="center"/>
    </x:xf>
    <x:xf numFmtId="166" fontId="12" fillId="49" borderId="18" xfId="0" applyAlignment="1">
      <x:alignment horizontal="right" vertical="center"/>
    </x:xf>
    <x:xf numFmtId="165" fontId="12" fillId="49" borderId="2" xfId="0" applyAlignment="1">
      <x:alignment horizontal="right" vertical="center"/>
    </x:xf>
    <x:xf numFmtId="164" fontId="12" fillId="49" borderId="17" xfId="0" applyAlignment="1">
      <x:alignment horizontal="center" vertical="center"/>
    </x:xf>
    <x:xf numFmtId="164" fontId="12" fillId="49" borderId="15" xfId="0" applyAlignment="1">
      <x:alignment vertical="center"/>
    </x:xf>
    <x:xf numFmtId="165" fontId="12" fillId="49" borderId="2" xfId="0" applyAlignment="1">
      <x:alignment vertical="center"/>
    </x:xf>
    <x:xf numFmtId="3" fontId="12" fillId="49" borderId="18" xfId="0" applyAlignment="1">
      <x:alignment horizontal="right" vertical="center"/>
    </x:xf>
    <x:xf numFmtId="167" fontId="12" fillId="49" borderId="2" xfId="0" applyAlignment="1">
      <x:alignment horizontal="right" vertical="center"/>
    </x:xf>
    <x:xf numFmtId="0" fontId="12" fillId="49" borderId="2" xfId="0" applyAlignment="1">
      <x:alignment horizontal="center" vertical="center"/>
    </x:xf>
    <x:xf numFmtId="0" fontId="12" fillId="49" borderId="18" xfId="0" applyAlignment="1">
      <x:alignment horizontal="left" vertical="center"/>
    </x:xf>
    <x:xf numFmtId="0" fontId="4" fillId="49" borderId="16" xfId="0" applyAlignment="1">
      <x:alignment horizontal="left" vertical="center"/>
    </x:xf>
    <x:xf numFmtId="0" fontId="4" fillId="49" borderId="2" xfId="0" applyAlignment="1">
      <x:alignment horizontal="right" vertical="center"/>
    </x:xf>
    <x:xf numFmtId="1" fontId="4" fillId="49" borderId="2" xfId="0" applyAlignment="1">
      <x:alignment horizontal="right" vertical="center"/>
    </x:xf>
    <x:xf numFmtId="3" fontId="4" fillId="49" borderId="16" xfId="0" applyAlignment="1">
      <x:alignment horizontal="right" vertical="center"/>
    </x:xf>
    <x:xf numFmtId="164" fontId="4" fillId="49" borderId="2" xfId="0" applyAlignment="1">
      <x:alignment horizontal="right" vertical="center"/>
    </x:xf>
    <x:xf numFmtId="3" fontId="4" fillId="49" borderId="2" xfId="0" applyAlignment="1">
      <x:alignment horizontal="right" vertical="center"/>
    </x:xf>
    <x:xf numFmtId="166" fontId="4" fillId="49" borderId="18" xfId="0" applyAlignment="1">
      <x:alignment horizontal="right" vertical="center"/>
    </x:xf>
    <x:xf numFmtId="165" fontId="4" fillId="49" borderId="2" xfId="0" applyAlignment="1">
      <x:alignment horizontal="right" vertical="center"/>
    </x:xf>
    <x:xf numFmtId="164" fontId="4" fillId="49" borderId="17" xfId="0" applyAlignment="1">
      <x:alignment horizontal="center" vertical="center"/>
    </x:xf>
    <x:xf numFmtId="164" fontId="4" fillId="49" borderId="15" xfId="0" applyAlignment="1">
      <x:alignment vertical="center"/>
    </x:xf>
    <x:xf numFmtId="165" fontId="4" fillId="49" borderId="2" xfId="0" applyAlignment="1">
      <x:alignment vertical="center"/>
    </x:xf>
    <x:xf numFmtId="3" fontId="4" fillId="49" borderId="18" xfId="0" applyAlignment="1">
      <x:alignment horizontal="right" vertical="center"/>
    </x:xf>
    <x:xf numFmtId="167" fontId="4" fillId="49" borderId="2" xfId="0" applyAlignment="1">
      <x:alignment horizontal="right" vertical="center"/>
    </x:xf>
    <x:xf numFmtId="0" fontId="4" fillId="49" borderId="2" xfId="0" applyAlignment="1">
      <x:alignment horizontal="center" vertical="center"/>
    </x:xf>
    <x:xf numFmtId="0" fontId="4" fillId="49" borderId="18" xfId="0" applyAlignment="1">
      <x:alignment horizontal="left" vertical="center"/>
    </x:xf>
    <x:xf numFmtId="0" fontId="4" fillId="49" borderId="15" xfId="0" applyAlignment="1">
      <x:alignment horizontal="left" vertical="center"/>
    </x:xf>
    <x:xf numFmtId="0" fontId="4" fillId="49" borderId="15" xfId="0" applyAlignment="1">
      <x:alignment horizontal="right" vertical="center"/>
    </x:xf>
    <x:xf numFmtId="1" fontId="4" fillId="49" borderId="15" xfId="0" applyAlignment="1">
      <x:alignment horizontal="right" vertical="center"/>
    </x:xf>
    <x:xf numFmtId="3" fontId="4" fillId="49" borderId="15" xfId="0" applyAlignment="1">
      <x:alignment horizontal="right" vertical="center"/>
    </x:xf>
    <x:xf numFmtId="164" fontId="4" fillId="49" borderId="15" xfId="0" applyAlignment="1">
      <x:alignment horizontal="right" vertical="center"/>
    </x:xf>
    <x:xf numFmtId="166" fontId="4" fillId="49" borderId="15" xfId="0" applyAlignment="1">
      <x:alignment horizontal="right" vertical="center"/>
    </x:xf>
    <x:xf numFmtId="165" fontId="4" fillId="49" borderId="15" xfId="0" applyAlignment="1">
      <x:alignment horizontal="right" vertical="center"/>
    </x:xf>
    <x:xf numFmtId="164" fontId="4" fillId="49" borderId="15" xfId="0" applyAlignment="1">
      <x:alignment horizontal="center" vertical="center"/>
    </x:xf>
    <x:xf numFmtId="165" fontId="4" fillId="49" borderId="15" xfId="0" applyAlignment="1">
      <x:alignment vertical="center"/>
    </x:xf>
    <x:xf numFmtId="167" fontId="4" fillId="49" borderId="15" xfId="0" applyAlignment="1">
      <x:alignment horizontal="right" vertical="center"/>
    </x:xf>
    <x:xf numFmtId="1" fontId="4" fillId="49" borderId="15" xfId="0" applyAlignment="1">
      <x:alignment horizontal="left" vertical="center"/>
    </x:xf>
    <x:xf numFmtId="3" fontId="4" fillId="49" borderId="15" xfId="0" applyAlignment="1">
      <x:alignment horizontal="left" vertical="center"/>
    </x:xf>
    <x:xf numFmtId="164" fontId="4" fillId="49" borderId="15" xfId="0" applyAlignment="1">
      <x:alignment horizontal="left" vertical="center"/>
    </x:xf>
    <x:xf numFmtId="166" fontId="4" fillId="49" borderId="15" xfId="0" applyAlignment="1">
      <x:alignment horizontal="left" vertical="center"/>
    </x:xf>
    <x:xf numFmtId="165" fontId="4" fillId="49" borderId="15" xfId="0" applyAlignment="1">
      <x:alignment horizontal="left" vertical="center"/>
    </x:xf>
    <x:xf numFmtId="167" fontId="4" fillId="49" borderId="15" xfId="0" applyAlignment="1">
      <x:alignment horizontal="left" vertical="center"/>
    </x:xf>
    <x:xf numFmtId="0" fontId="12" fillId="51" borderId="16" xfId="0" applyAlignment="1">
      <x:alignment horizontal="left" vertical="center"/>
    </x:xf>
    <x:xf numFmtId="0" fontId="12" fillId="51" borderId="2" xfId="0" applyAlignment="1">
      <x:alignment horizontal="right" vertical="center"/>
    </x:xf>
    <x:xf numFmtId="1" fontId="12" fillId="51" borderId="2" xfId="0" applyAlignment="1">
      <x:alignment horizontal="right" vertical="center"/>
    </x:xf>
    <x:xf numFmtId="3" fontId="12" fillId="51" borderId="16" xfId="0" applyAlignment="1">
      <x:alignment horizontal="right" vertical="center"/>
    </x:xf>
    <x:xf numFmtId="164" fontId="12" fillId="51" borderId="2" xfId="0" applyAlignment="1">
      <x:alignment horizontal="right" vertical="center"/>
    </x:xf>
    <x:xf numFmtId="3" fontId="12" fillId="51" borderId="2" xfId="0" applyAlignment="1">
      <x:alignment horizontal="right" vertical="center"/>
    </x:xf>
    <x:xf numFmtId="166" fontId="12" fillId="51" borderId="18" xfId="0" applyAlignment="1">
      <x:alignment horizontal="right" vertical="center"/>
    </x:xf>
    <x:xf numFmtId="165" fontId="12" fillId="51" borderId="2" xfId="0" applyAlignment="1">
      <x:alignment horizontal="right" vertical="center"/>
    </x:xf>
    <x:xf numFmtId="164" fontId="12" fillId="51" borderId="2" xfId="0" applyAlignment="1">
      <x:alignment horizontal="center" vertical="center"/>
    </x:xf>
    <x:xf numFmtId="164" fontId="12" fillId="51" borderId="15" xfId="0" applyAlignment="1">
      <x:alignment vertical="center"/>
    </x:xf>
    <x:xf numFmtId="165" fontId="12" fillId="51" borderId="2" xfId="0" applyAlignment="1">
      <x:alignment vertical="center"/>
    </x:xf>
    <x:xf numFmtId="3" fontId="12" fillId="51" borderId="18" xfId="0" applyAlignment="1">
      <x:alignment horizontal="right" vertical="center"/>
    </x:xf>
    <x:xf numFmtId="167" fontId="12" fillId="51" borderId="2" xfId="0" applyAlignment="1">
      <x:alignment horizontal="right" vertical="center"/>
    </x:xf>
    <x:xf numFmtId="0" fontId="12" fillId="51" borderId="2" xfId="0" applyAlignment="1">
      <x:alignment horizontal="center" vertical="center"/>
    </x:xf>
    <x:xf numFmtId="0" fontId="12" fillId="51" borderId="18" xfId="0" applyAlignment="1">
      <x:alignment horizontal="left" vertical="center"/>
    </x:xf>
    <x:xf numFmtId="0" fontId="4" fillId="51" borderId="16" xfId="0" applyAlignment="1">
      <x:alignment horizontal="left" vertical="center"/>
    </x:xf>
    <x:xf numFmtId="0" fontId="4" fillId="51" borderId="2" xfId="0" applyAlignment="1">
      <x:alignment horizontal="right" vertical="center"/>
    </x:xf>
    <x:xf numFmtId="1" fontId="4" fillId="51" borderId="2" xfId="0" applyAlignment="1">
      <x:alignment horizontal="right" vertical="center"/>
    </x:xf>
    <x:xf numFmtId="3" fontId="4" fillId="51" borderId="16" xfId="0" applyAlignment="1">
      <x:alignment horizontal="right" vertical="center"/>
    </x:xf>
    <x:xf numFmtId="164" fontId="4" fillId="51" borderId="2" xfId="0" applyAlignment="1">
      <x:alignment horizontal="right" vertical="center"/>
    </x:xf>
    <x:xf numFmtId="3" fontId="4" fillId="51" borderId="2" xfId="0" applyAlignment="1">
      <x:alignment horizontal="right" vertical="center"/>
    </x:xf>
    <x:xf numFmtId="166" fontId="4" fillId="51" borderId="18" xfId="0" applyAlignment="1">
      <x:alignment horizontal="right" vertical="center"/>
    </x:xf>
    <x:xf numFmtId="165" fontId="4" fillId="51" borderId="2" xfId="0" applyAlignment="1">
      <x:alignment horizontal="right" vertical="center"/>
    </x:xf>
    <x:xf numFmtId="164" fontId="4" fillId="51" borderId="2" xfId="0" applyAlignment="1">
      <x:alignment horizontal="center" vertical="center"/>
    </x:xf>
    <x:xf numFmtId="164" fontId="4" fillId="51" borderId="15" xfId="0" applyAlignment="1">
      <x:alignment vertical="center"/>
    </x:xf>
    <x:xf numFmtId="165" fontId="4" fillId="51" borderId="2" xfId="0" applyAlignment="1">
      <x:alignment vertical="center"/>
    </x:xf>
    <x:xf numFmtId="3" fontId="4" fillId="51" borderId="18" xfId="0" applyAlignment="1">
      <x:alignment horizontal="right" vertical="center"/>
    </x:xf>
    <x:xf numFmtId="167" fontId="4" fillId="51" borderId="2" xfId="0" applyAlignment="1">
      <x:alignment horizontal="right" vertical="center"/>
    </x:xf>
    <x:xf numFmtId="0" fontId="4" fillId="51" borderId="2" xfId="0" applyAlignment="1">
      <x:alignment horizontal="center" vertical="center"/>
    </x:xf>
    <x:xf numFmtId="0" fontId="4" fillId="51" borderId="18" xfId="0" applyAlignment="1">
      <x:alignment horizontal="left" vertical="center"/>
    </x:xf>
    <x:xf numFmtId="0" fontId="4" fillId="51" borderId="15" xfId="0" applyAlignment="1">
      <x:alignment horizontal="left" vertical="center"/>
    </x:xf>
    <x:xf numFmtId="0" fontId="4" fillId="51" borderId="15" xfId="0" applyAlignment="1">
      <x:alignment horizontal="right" vertical="center"/>
    </x:xf>
    <x:xf numFmtId="1" fontId="4" fillId="51" borderId="15" xfId="0" applyAlignment="1">
      <x:alignment horizontal="right" vertical="center"/>
    </x:xf>
    <x:xf numFmtId="3" fontId="4" fillId="51" borderId="15" xfId="0" applyAlignment="1">
      <x:alignment horizontal="right" vertical="center"/>
    </x:xf>
    <x:xf numFmtId="164" fontId="4" fillId="51" borderId="15" xfId="0" applyAlignment="1">
      <x:alignment horizontal="right" vertical="center"/>
    </x:xf>
    <x:xf numFmtId="166" fontId="4" fillId="51" borderId="15" xfId="0" applyAlignment="1">
      <x:alignment horizontal="right" vertical="center"/>
    </x:xf>
    <x:xf numFmtId="165" fontId="4" fillId="51" borderId="15" xfId="0" applyAlignment="1">
      <x:alignment horizontal="right" vertical="center"/>
    </x:xf>
    <x:xf numFmtId="164" fontId="4" fillId="51" borderId="15" xfId="0" applyAlignment="1">
      <x:alignment horizontal="center" vertical="center"/>
    </x:xf>
    <x:xf numFmtId="165" fontId="4" fillId="51" borderId="15" xfId="0" applyAlignment="1">
      <x:alignment vertical="center"/>
    </x:xf>
    <x:xf numFmtId="167" fontId="4" fillId="51" borderId="15" xfId="0" applyAlignment="1">
      <x:alignment horizontal="right" vertical="center"/>
    </x:xf>
    <x:xf numFmtId="0" fontId="4" fillId="51" borderId="15" xfId="0" applyAlignment="1">
      <x:alignment horizontal="center" vertical="center"/>
    </x:xf>
    <x:xf numFmtId="1" fontId="4" fillId="51" borderId="15" xfId="0" applyAlignment="1">
      <x:alignment horizontal="left" vertical="center"/>
    </x:xf>
    <x:xf numFmtId="3" fontId="4" fillId="51" borderId="15" xfId="0" applyAlignment="1">
      <x:alignment horizontal="left" vertical="center"/>
    </x:xf>
    <x:xf numFmtId="164" fontId="4" fillId="51" borderId="15" xfId="0" applyAlignment="1">
      <x:alignment horizontal="left" vertical="center"/>
    </x:xf>
    <x:xf numFmtId="166" fontId="4" fillId="51" borderId="15" xfId="0" applyAlignment="1">
      <x:alignment horizontal="left" vertical="center"/>
    </x:xf>
    <x:xf numFmtId="165" fontId="4" fillId="51" borderId="15" xfId="0" applyAlignment="1">
      <x:alignment horizontal="left" vertical="center"/>
    </x:xf>
    <x:xf numFmtId="167" fontId="4" fillId="51" borderId="15" xfId="0" applyAlignment="1">
      <x:alignment horizontal="left" vertical="center"/>
    </x:xf>
    <x:xf numFmtId="0" fontId="11" fillId="52" borderId="16" xfId="0" applyAlignment="1">
      <x:alignment horizontal="right" vertical="center"/>
    </x:xf>
    <x:xf numFmtId="0" fontId="11" fillId="52" borderId="2" xfId="0" applyAlignment="1">
      <x:alignment horizontal="right" vertical="center"/>
    </x:xf>
    <x:xf numFmtId="1" fontId="11" fillId="52" borderId="2" xfId="0" applyAlignment="1">
      <x:alignment horizontal="right" vertical="center"/>
    </x:xf>
    <x:xf numFmtId="3" fontId="11" fillId="52" borderId="16" xfId="0" applyAlignment="1">
      <x:alignment horizontal="right" vertical="center"/>
    </x:xf>
    <x:xf numFmtId="164" fontId="11" fillId="52" borderId="2" xfId="0" applyAlignment="1">
      <x:alignment horizontal="right" vertical="center"/>
    </x:xf>
    <x:xf numFmtId="3" fontId="11" fillId="52" borderId="2" xfId="0" applyAlignment="1">
      <x:alignment horizontal="right" vertical="center"/>
    </x:xf>
    <x:xf numFmtId="166" fontId="11" fillId="52" borderId="18" xfId="0" applyAlignment="1">
      <x:alignment horizontal="right" vertical="center"/>
    </x:xf>
    <x:xf numFmtId="165" fontId="11" fillId="52" borderId="2" xfId="0" applyAlignment="1">
      <x:alignment horizontal="right" vertical="center"/>
    </x:xf>
    <x:xf numFmtId="164" fontId="11" fillId="52" borderId="15" xfId="0" applyAlignment="1">
      <x:alignment horizontal="right" vertical="center"/>
    </x:xf>
    <x:xf numFmtId="165" fontId="11" fillId="52" borderId="18" xfId="0" applyAlignment="1">
      <x:alignment horizontal="right" vertical="center"/>
    </x:xf>
    <x:xf numFmtId="3" fontId="11" fillId="52" borderId="15" xfId="0" applyAlignment="1">
      <x:alignment horizontal="right" vertical="center"/>
    </x:xf>
    <x:xf numFmtId="167" fontId="11" fillId="52" borderId="2" xfId="0" applyAlignment="1">
      <x:alignment horizontal="right" vertical="center"/>
    </x:xf>
    <x:xf numFmtId="0" fontId="11" fillId="52" borderId="2" xfId="0" applyAlignment="1">
      <x:alignment horizontal="center" vertical="center"/>
    </x:xf>
    <x:xf numFmtId="0" fontId="11" fillId="52" borderId="18" xfId="0" applyAlignment="1">
      <x:alignment horizontal="left" vertical="center"/>
    </x:xf>
    <x:xf numFmtId="0" fontId="17" fillId="52" borderId="16" xfId="0" applyAlignment="1">
      <x:alignment horizontal="right" vertical="center"/>
    </x:xf>
    <x:xf numFmtId="0" fontId="17" fillId="52" borderId="2" xfId="0" applyAlignment="1">
      <x:alignment horizontal="right" vertical="center"/>
    </x:xf>
    <x:xf numFmtId="1" fontId="17" fillId="52" borderId="2" xfId="0" applyAlignment="1">
      <x:alignment horizontal="right" vertical="center"/>
    </x:xf>
    <x:xf numFmtId="3" fontId="17" fillId="52" borderId="16" xfId="0" applyAlignment="1">
      <x:alignment horizontal="right" vertical="center"/>
    </x:xf>
    <x:xf numFmtId="164" fontId="17" fillId="52" borderId="2" xfId="0" applyAlignment="1">
      <x:alignment horizontal="right" vertical="center"/>
    </x:xf>
    <x:xf numFmtId="3" fontId="17" fillId="52" borderId="2" xfId="0" applyAlignment="1">
      <x:alignment horizontal="right" vertical="center"/>
    </x:xf>
    <x:xf numFmtId="166" fontId="17" fillId="52" borderId="18" xfId="0" applyAlignment="1">
      <x:alignment horizontal="right" vertical="center"/>
    </x:xf>
    <x:xf numFmtId="165" fontId="17" fillId="52" borderId="2" xfId="0" applyAlignment="1">
      <x:alignment horizontal="right" vertical="center"/>
    </x:xf>
    <x:xf numFmtId="164" fontId="17" fillId="52" borderId="15" xfId="0" applyAlignment="1">
      <x:alignment horizontal="right" vertical="center"/>
    </x:xf>
    <x:xf numFmtId="165" fontId="17" fillId="52" borderId="18" xfId="0" applyAlignment="1">
      <x:alignment horizontal="right" vertical="center"/>
    </x:xf>
    <x:xf numFmtId="3" fontId="17" fillId="52" borderId="15" xfId="0" applyAlignment="1">
      <x:alignment horizontal="right" vertical="center"/>
    </x:xf>
    <x:xf numFmtId="167" fontId="17" fillId="52" borderId="2" xfId="0" applyAlignment="1">
      <x:alignment horizontal="right" vertical="center"/>
    </x:xf>
    <x:xf numFmtId="0" fontId="17" fillId="52" borderId="2" xfId="0" applyAlignment="1">
      <x:alignment horizontal="center" vertical="center"/>
    </x:xf>
    <x:xf numFmtId="0" fontId="17" fillId="52" borderId="18" xfId="0" applyAlignment="1">
      <x:alignment horizontal="left" vertical="center"/>
    </x:xf>
    <x:xf numFmtId="0" fontId="17" fillId="52" borderId="15" xfId="0" applyAlignment="1">
      <x:alignment horizontal="right" vertical="center"/>
    </x:xf>
    <x:xf numFmtId="1" fontId="17" fillId="52" borderId="15" xfId="0" applyAlignment="1">
      <x:alignment horizontal="right" vertical="center"/>
    </x:xf>
    <x:xf numFmtId="166" fontId="17" fillId="52" borderId="15" xfId="0" applyAlignment="1">
      <x:alignment horizontal="right" vertical="center"/>
    </x:xf>
    <x:xf numFmtId="165" fontId="17" fillId="52" borderId="15" xfId="0" applyAlignment="1">
      <x:alignment horizontal="right" vertical="center"/>
    </x:xf>
    <x:xf numFmtId="167" fontId="17" fillId="52" borderId="15" xfId="0" applyAlignment="1">
      <x:alignment horizontal="right" vertical="center"/>
    </x:xf>
    <x:xf numFmtId="0" fontId="17" fillId="52" borderId="15" xfId="0" applyAlignment="1">
      <x:alignment horizontal="center" vertical="center"/>
    </x:xf>
    <x:xf numFmtId="0" fontId="17" fillId="52" borderId="15" xfId="0" applyAlignment="1">
      <x:alignment horizontal="left" vertical="center"/>
    </x:xf>
    <x:xf numFmtId="0" fontId="18" fillId="52" borderId="15" xfId="0" applyAlignment="1">
      <x:alignment horizontal="right" vertical="center"/>
    </x:xf>
    <x:xf numFmtId="0" fontId="18" fillId="52" borderId="15" xfId="0" applyAlignment="1">
      <x:alignment horizontal="right" vertical="center" wrapText="1"/>
    </x:xf>
    <x:xf numFmtId="0" fontId="18" fillId="52" borderId="15" xfId="0" applyAlignment="1">
      <x:alignment horizontal="left" vertical="center" wrapText="1"/>
    </x:xf>
    <x:xf numFmtId="0" fontId="12" fillId="52" borderId="16" xfId="0" applyAlignment="1">
      <x:alignment horizontal="right" vertical="center"/>
    </x:xf>
    <x:xf numFmtId="0" fontId="12" fillId="52" borderId="2" xfId="0" applyAlignment="1">
      <x:alignment horizontal="right" vertical="center"/>
    </x:xf>
    <x:xf numFmtId="0" fontId="12" fillId="52" borderId="18" xfId="0" applyAlignment="1">
      <x:alignment horizontal="right" vertical="center"/>
    </x:xf>
    <x:xf numFmtId="164" fontId="12" fillId="52" borderId="15" xfId="0" applyAlignment="1">
      <x:alignment horizontal="right" vertical="center"/>
    </x:xf>
    <x:xf numFmtId="166" fontId="11" fillId="52" borderId="15" xfId="0" applyAlignment="1">
      <x:alignment horizontal="right" vertical="center"/>
    </x:xf>
    <x:xf numFmtId="0" fontId="17" fillId="52" borderId="18" xfId="0" applyAlignment="1">
      <x:alignment horizontal="right" vertical="center"/>
    </x:xf>
    <x:xf numFmtId="164" fontId="12" fillId="52" borderId="2" xfId="0" applyAlignment="1">
      <x:alignment horizontal="right" vertical="center"/>
    </x:xf>
    <x:xf numFmtId="0" fontId="11" fillId="53" borderId="16" xfId="0" applyAlignment="1">
      <x:alignment horizontal="right" vertical="center"/>
    </x:xf>
    <x:xf numFmtId="0" fontId="11" fillId="53" borderId="2" xfId="0" applyAlignment="1">
      <x:alignment horizontal="right" vertical="center"/>
    </x:xf>
    <x:xf numFmtId="1" fontId="11" fillId="53" borderId="2" xfId="0" applyAlignment="1">
      <x:alignment horizontal="right" vertical="center"/>
    </x:xf>
    <x:xf numFmtId="3" fontId="11" fillId="53" borderId="16" xfId="0" applyAlignment="1">
      <x:alignment horizontal="right" vertical="center"/>
    </x:xf>
    <x:xf numFmtId="164" fontId="11" fillId="53" borderId="2" xfId="0" applyAlignment="1">
      <x:alignment horizontal="right" vertical="center"/>
    </x:xf>
    <x:xf numFmtId="3" fontId="11" fillId="53" borderId="2" xfId="0" applyAlignment="1">
      <x:alignment horizontal="right" vertical="center"/>
    </x:xf>
    <x:xf numFmtId="166" fontId="11" fillId="53" borderId="18" xfId="0" applyAlignment="1">
      <x:alignment horizontal="right" vertical="center"/>
    </x:xf>
    <x:xf numFmtId="165" fontId="11" fillId="53" borderId="2" xfId="0" applyAlignment="1">
      <x:alignment horizontal="right" vertical="center"/>
    </x:xf>
    <x:xf numFmtId="164" fontId="11" fillId="53" borderId="15" xfId="0" applyAlignment="1">
      <x:alignment horizontal="right" vertical="center"/>
    </x:xf>
    <x:xf numFmtId="165" fontId="11" fillId="53" borderId="18" xfId="0" applyAlignment="1">
      <x:alignment horizontal="right" vertical="center"/>
    </x:xf>
    <x:xf numFmtId="3" fontId="11" fillId="53" borderId="15" xfId="0" applyAlignment="1">
      <x:alignment horizontal="right" vertical="center"/>
    </x:xf>
    <x:xf numFmtId="167" fontId="11" fillId="53" borderId="2" xfId="0" applyAlignment="1">
      <x:alignment horizontal="right" vertical="center"/>
    </x:xf>
    <x:xf numFmtId="0" fontId="11" fillId="53" borderId="2" xfId="0" applyAlignment="1">
      <x:alignment horizontal="center" vertical="center"/>
    </x:xf>
    <x:xf numFmtId="0" fontId="11" fillId="53" borderId="18" xfId="0" applyAlignment="1">
      <x:alignment horizontal="left" vertical="center"/>
    </x:xf>
    <x:xf numFmtId="0" fontId="17" fillId="53" borderId="16" xfId="0" applyAlignment="1">
      <x:alignment horizontal="right" vertical="center"/>
    </x:xf>
    <x:xf numFmtId="0" fontId="17" fillId="53" borderId="2" xfId="0" applyAlignment="1">
      <x:alignment horizontal="right" vertical="center"/>
    </x:xf>
    <x:xf numFmtId="1" fontId="17" fillId="53" borderId="2" xfId="0" applyAlignment="1">
      <x:alignment horizontal="right" vertical="center"/>
    </x:xf>
    <x:xf numFmtId="3" fontId="17" fillId="53" borderId="16" xfId="0" applyAlignment="1">
      <x:alignment horizontal="right" vertical="center"/>
    </x:xf>
    <x:xf numFmtId="164" fontId="17" fillId="53" borderId="2" xfId="0" applyAlignment="1">
      <x:alignment horizontal="right" vertical="center"/>
    </x:xf>
    <x:xf numFmtId="3" fontId="17" fillId="53" borderId="2" xfId="0" applyAlignment="1">
      <x:alignment horizontal="right" vertical="center"/>
    </x:xf>
    <x:xf numFmtId="166" fontId="17" fillId="53" borderId="18" xfId="0" applyAlignment="1">
      <x:alignment horizontal="right" vertical="center"/>
    </x:xf>
    <x:xf numFmtId="165" fontId="17" fillId="53" borderId="2" xfId="0" applyAlignment="1">
      <x:alignment horizontal="right" vertical="center"/>
    </x:xf>
    <x:xf numFmtId="164" fontId="17" fillId="53" borderId="15" xfId="0" applyAlignment="1">
      <x:alignment horizontal="right" vertical="center"/>
    </x:xf>
    <x:xf numFmtId="165" fontId="17" fillId="53" borderId="18" xfId="0" applyAlignment="1">
      <x:alignment horizontal="right" vertical="center"/>
    </x:xf>
    <x:xf numFmtId="3" fontId="17" fillId="53" borderId="15" xfId="0" applyAlignment="1">
      <x:alignment horizontal="right" vertical="center"/>
    </x:xf>
    <x:xf numFmtId="167" fontId="17" fillId="53" borderId="2" xfId="0" applyAlignment="1">
      <x:alignment horizontal="right" vertical="center"/>
    </x:xf>
    <x:xf numFmtId="0" fontId="17" fillId="53" borderId="2" xfId="0" applyAlignment="1">
      <x:alignment horizontal="center" vertical="center"/>
    </x:xf>
    <x:xf numFmtId="0" fontId="17" fillId="53" borderId="18" xfId="0" applyAlignment="1">
      <x:alignment horizontal="left" vertical="center"/>
    </x:xf>
    <x:xf numFmtId="0" fontId="17" fillId="53" borderId="15" xfId="0" applyAlignment="1">
      <x:alignment horizontal="right" vertical="center"/>
    </x:xf>
    <x:xf numFmtId="1" fontId="17" fillId="53" borderId="15" xfId="0" applyAlignment="1">
      <x:alignment horizontal="right" vertical="center"/>
    </x:xf>
    <x:xf numFmtId="166" fontId="17" fillId="53" borderId="15" xfId="0" applyAlignment="1">
      <x:alignment horizontal="right" vertical="center"/>
    </x:xf>
    <x:xf numFmtId="165" fontId="17" fillId="53" borderId="15" xfId="0" applyAlignment="1">
      <x:alignment horizontal="right" vertical="center"/>
    </x:xf>
    <x:xf numFmtId="167" fontId="17" fillId="53" borderId="15" xfId="0" applyAlignment="1">
      <x:alignment horizontal="right" vertical="center"/>
    </x:xf>
    <x:xf numFmtId="0" fontId="17" fillId="53" borderId="15" xfId="0" applyAlignment="1">
      <x:alignment horizontal="center" vertical="center"/>
    </x:xf>
    <x:xf numFmtId="0" fontId="17" fillId="53" borderId="15" xfId="0" applyAlignment="1">
      <x:alignment horizontal="left" vertical="center"/>
    </x:xf>
    <x:xf numFmtId="0" fontId="18" fillId="53" borderId="15" xfId="0" applyAlignment="1">
      <x:alignment horizontal="right" vertical="center"/>
    </x:xf>
    <x:xf numFmtId="0" fontId="18" fillId="53" borderId="15" xfId="0" applyAlignment="1">
      <x:alignment horizontal="right" vertical="center" wrapText="1"/>
    </x:xf>
    <x:xf numFmtId="0" fontId="18" fillId="53" borderId="15" xfId="0" applyAlignment="1">
      <x:alignment horizontal="left" vertical="center" wrapText="1"/>
    </x:xf>
    <x:xf numFmtId="0" fontId="12" fillId="53" borderId="2" xfId="0" applyAlignment="1">
      <x:alignment horizontal="right" vertical="center"/>
    </x:xf>
    <x:xf numFmtId="164" fontId="12" fillId="53" borderId="2" xfId="0" applyAlignment="1">
      <x:alignment horizontal="right" vertical="center"/>
    </x:xf>
    <x:xf numFmtId="0" fontId="12" fillId="53" borderId="16" xfId="0" applyAlignment="1">
      <x:alignment horizontal="right" vertical="center"/>
    </x:xf>
    <x:xf numFmtId="0" fontId="12" fillId="53" borderId="18" xfId="0" applyAlignment="1">
      <x:alignment horizontal="right" vertical="center"/>
    </x:xf>
    <x:xf numFmtId="164" fontId="12" fillId="53" borderId="15" xfId="0" applyAlignment="1">
      <x:alignment horizontal="right" vertical="center"/>
    </x:xf>
    <x:xf numFmtId="166" fontId="11" fillId="53" borderId="15" xfId="0" applyAlignment="1">
      <x:alignment horizontal="right" vertical="center"/>
    </x:xf>
    <x:xf numFmtId="0" fontId="17" fillId="53" borderId="18" xfId="0" applyAlignment="1">
      <x:alignment horizontal="right" vertical="center"/>
    </x:xf>
    <x:xf numFmtId="0" fontId="11" fillId="54" borderId="16" xfId="0" applyAlignment="1">
      <x:alignment horizontal="right" vertical="center"/>
    </x:xf>
    <x:xf numFmtId="0" fontId="11" fillId="54" borderId="2" xfId="0" applyAlignment="1">
      <x:alignment horizontal="right" vertical="center"/>
    </x:xf>
    <x:xf numFmtId="1" fontId="11" fillId="54" borderId="2" xfId="0" applyAlignment="1">
      <x:alignment horizontal="right" vertical="center"/>
    </x:xf>
    <x:xf numFmtId="3" fontId="11" fillId="54" borderId="16" xfId="0" applyAlignment="1">
      <x:alignment horizontal="right" vertical="center"/>
    </x:xf>
    <x:xf numFmtId="164" fontId="11" fillId="54" borderId="2" xfId="0" applyAlignment="1">
      <x:alignment horizontal="right" vertical="center"/>
    </x:xf>
    <x:xf numFmtId="3" fontId="11" fillId="54" borderId="2" xfId="0" applyAlignment="1">
      <x:alignment horizontal="right" vertical="center"/>
    </x:xf>
    <x:xf numFmtId="166" fontId="11" fillId="54" borderId="18" xfId="0" applyAlignment="1">
      <x:alignment horizontal="right" vertical="center"/>
    </x:xf>
    <x:xf numFmtId="165" fontId="11" fillId="54" borderId="2" xfId="0" applyAlignment="1">
      <x:alignment horizontal="right" vertical="center"/>
    </x:xf>
    <x:xf numFmtId="164" fontId="11" fillId="54" borderId="15" xfId="0" applyAlignment="1">
      <x:alignment horizontal="right" vertical="center"/>
    </x:xf>
    <x:xf numFmtId="165" fontId="11" fillId="54" borderId="18" xfId="0" applyAlignment="1">
      <x:alignment horizontal="right" vertical="center"/>
    </x:xf>
    <x:xf numFmtId="3" fontId="11" fillId="54" borderId="15" xfId="0" applyAlignment="1">
      <x:alignment horizontal="right" vertical="center"/>
    </x:xf>
    <x:xf numFmtId="167" fontId="11" fillId="54" borderId="2" xfId="0" applyAlignment="1">
      <x:alignment horizontal="right" vertical="center"/>
    </x:xf>
    <x:xf numFmtId="0" fontId="11" fillId="54" borderId="2" xfId="0" applyAlignment="1">
      <x:alignment horizontal="center" vertical="center"/>
    </x:xf>
    <x:xf numFmtId="0" fontId="11" fillId="54" borderId="18" xfId="0" applyAlignment="1">
      <x:alignment horizontal="left" vertical="center"/>
    </x:xf>
    <x:xf numFmtId="0" fontId="17" fillId="54" borderId="16" xfId="0" applyAlignment="1">
      <x:alignment horizontal="right" vertical="center"/>
    </x:xf>
    <x:xf numFmtId="0" fontId="17" fillId="54" borderId="2" xfId="0" applyAlignment="1">
      <x:alignment horizontal="right" vertical="center"/>
    </x:xf>
    <x:xf numFmtId="1" fontId="17" fillId="54" borderId="2" xfId="0" applyAlignment="1">
      <x:alignment horizontal="right" vertical="center"/>
    </x:xf>
    <x:xf numFmtId="3" fontId="17" fillId="54" borderId="16" xfId="0" applyAlignment="1">
      <x:alignment horizontal="right" vertical="center"/>
    </x:xf>
    <x:xf numFmtId="164" fontId="17" fillId="54" borderId="2" xfId="0" applyAlignment="1">
      <x:alignment horizontal="right" vertical="center"/>
    </x:xf>
    <x:xf numFmtId="3" fontId="17" fillId="54" borderId="2" xfId="0" applyAlignment="1">
      <x:alignment horizontal="right" vertical="center"/>
    </x:xf>
    <x:xf numFmtId="166" fontId="17" fillId="54" borderId="18" xfId="0" applyAlignment="1">
      <x:alignment horizontal="right" vertical="center"/>
    </x:xf>
    <x:xf numFmtId="165" fontId="17" fillId="54" borderId="2" xfId="0" applyAlignment="1">
      <x:alignment horizontal="right" vertical="center"/>
    </x:xf>
    <x:xf numFmtId="164" fontId="17" fillId="54" borderId="15" xfId="0" applyAlignment="1">
      <x:alignment horizontal="right" vertical="center"/>
    </x:xf>
    <x:xf numFmtId="165" fontId="17" fillId="54" borderId="18" xfId="0" applyAlignment="1">
      <x:alignment horizontal="right" vertical="center"/>
    </x:xf>
    <x:xf numFmtId="3" fontId="17" fillId="54" borderId="15" xfId="0" applyAlignment="1">
      <x:alignment horizontal="right" vertical="center"/>
    </x:xf>
    <x:xf numFmtId="167" fontId="17" fillId="54" borderId="2" xfId="0" applyAlignment="1">
      <x:alignment horizontal="right" vertical="center"/>
    </x:xf>
    <x:xf numFmtId="0" fontId="17" fillId="54" borderId="2" xfId="0" applyAlignment="1">
      <x:alignment horizontal="center" vertical="center"/>
    </x:xf>
    <x:xf numFmtId="0" fontId="17" fillId="54" borderId="18" xfId="0" applyAlignment="1">
      <x:alignment horizontal="left" vertical="center"/>
    </x:xf>
    <x:xf numFmtId="0" fontId="17" fillId="54" borderId="15" xfId="0" applyAlignment="1">
      <x:alignment horizontal="right" vertical="center"/>
    </x:xf>
    <x:xf numFmtId="1" fontId="17" fillId="54" borderId="15" xfId="0" applyAlignment="1">
      <x:alignment horizontal="right" vertical="center"/>
    </x:xf>
    <x:xf numFmtId="166" fontId="17" fillId="54" borderId="15" xfId="0" applyAlignment="1">
      <x:alignment horizontal="right" vertical="center"/>
    </x:xf>
    <x:xf numFmtId="165" fontId="17" fillId="54" borderId="15" xfId="0" applyAlignment="1">
      <x:alignment horizontal="right" vertical="center"/>
    </x:xf>
    <x:xf numFmtId="167" fontId="17" fillId="54" borderId="15" xfId="0" applyAlignment="1">
      <x:alignment horizontal="right" vertical="center"/>
    </x:xf>
    <x:xf numFmtId="0" fontId="17" fillId="54" borderId="15" xfId="0" applyAlignment="1">
      <x:alignment horizontal="center" vertical="center"/>
    </x:xf>
    <x:xf numFmtId="0" fontId="17" fillId="54" borderId="15" xfId="0" applyAlignment="1">
      <x:alignment horizontal="left" vertical="center"/>
    </x:xf>
    <x:xf numFmtId="0" fontId="18" fillId="54" borderId="15" xfId="0" applyAlignment="1">
      <x:alignment horizontal="right" vertical="center"/>
    </x:xf>
    <x:xf numFmtId="0" fontId="18" fillId="54" borderId="15" xfId="0" applyAlignment="1">
      <x:alignment horizontal="right" vertical="center" wrapText="1"/>
    </x:xf>
    <x:xf numFmtId="0" fontId="18" fillId="54" borderId="15" xfId="0" applyAlignment="1">
      <x:alignment horizontal="left" vertical="center" wrapText="1"/>
    </x:xf>
    <x:xf numFmtId="0" fontId="12" fillId="54" borderId="16" xfId="0" applyAlignment="1">
      <x:alignment horizontal="right" vertical="center"/>
    </x:xf>
    <x:xf numFmtId="0" fontId="12" fillId="54" borderId="2" xfId="0" applyAlignment="1">
      <x:alignment horizontal="right" vertical="center"/>
    </x:xf>
    <x:xf numFmtId="0" fontId="12" fillId="54" borderId="18" xfId="0" applyAlignment="1">
      <x:alignment horizontal="right" vertical="center"/>
    </x:xf>
    <x:xf numFmtId="164" fontId="12" fillId="54" borderId="15" xfId="0" applyAlignment="1">
      <x:alignment horizontal="right" vertical="center"/>
    </x:xf>
    <x:xf numFmtId="166" fontId="11" fillId="54" borderId="15" xfId="0" applyAlignment="1">
      <x:alignment horizontal="right" vertical="center"/>
    </x:xf>
    <x:xf numFmtId="0" fontId="17" fillId="54" borderId="18" xfId="0" applyAlignment="1">
      <x:alignment horizontal="right" vertical="center"/>
    </x:xf>
    <x:xf numFmtId="0" fontId="11" fillId="55" borderId="16" xfId="0" applyAlignment="1">
      <x:alignment horizontal="right" vertical="center"/>
    </x:xf>
    <x:xf numFmtId="0" fontId="11" fillId="55" borderId="2" xfId="0" applyAlignment="1">
      <x:alignment horizontal="right" vertical="center"/>
    </x:xf>
    <x:xf numFmtId="1" fontId="11" fillId="55" borderId="2" xfId="0" applyAlignment="1">
      <x:alignment horizontal="right" vertical="center"/>
    </x:xf>
    <x:xf numFmtId="3" fontId="11" fillId="55" borderId="16" xfId="0" applyAlignment="1">
      <x:alignment horizontal="right" vertical="center"/>
    </x:xf>
    <x:xf numFmtId="164" fontId="11" fillId="55" borderId="2" xfId="0" applyAlignment="1">
      <x:alignment horizontal="right" vertical="center"/>
    </x:xf>
    <x:xf numFmtId="3" fontId="11" fillId="55" borderId="2" xfId="0" applyAlignment="1">
      <x:alignment horizontal="right" vertical="center"/>
    </x:xf>
    <x:xf numFmtId="166" fontId="11" fillId="55" borderId="18" xfId="0" applyAlignment="1">
      <x:alignment horizontal="right" vertical="center"/>
    </x:xf>
    <x:xf numFmtId="165" fontId="11" fillId="55" borderId="2" xfId="0" applyAlignment="1">
      <x:alignment horizontal="right" vertical="center"/>
    </x:xf>
    <x:xf numFmtId="164" fontId="11" fillId="55" borderId="15" xfId="0" applyAlignment="1">
      <x:alignment horizontal="right" vertical="center"/>
    </x:xf>
    <x:xf numFmtId="165" fontId="11" fillId="55" borderId="18" xfId="0" applyAlignment="1">
      <x:alignment horizontal="right" vertical="center"/>
    </x:xf>
    <x:xf numFmtId="3" fontId="11" fillId="55" borderId="15" xfId="0" applyAlignment="1">
      <x:alignment horizontal="right" vertical="center"/>
    </x:xf>
    <x:xf numFmtId="167" fontId="11" fillId="55" borderId="2" xfId="0" applyAlignment="1">
      <x:alignment horizontal="right" vertical="center"/>
    </x:xf>
    <x:xf numFmtId="0" fontId="11" fillId="55" borderId="2" xfId="0" applyAlignment="1">
      <x:alignment horizontal="center" vertical="center"/>
    </x:xf>
    <x:xf numFmtId="0" fontId="11" fillId="55" borderId="18" xfId="0" applyAlignment="1">
      <x:alignment horizontal="left" vertical="center"/>
    </x:xf>
    <x:xf numFmtId="0" fontId="17" fillId="55" borderId="16" xfId="0" applyAlignment="1">
      <x:alignment horizontal="right" vertical="center"/>
    </x:xf>
    <x:xf numFmtId="0" fontId="17" fillId="55" borderId="2" xfId="0" applyAlignment="1">
      <x:alignment horizontal="right" vertical="center"/>
    </x:xf>
    <x:xf numFmtId="1" fontId="17" fillId="55" borderId="2" xfId="0" applyAlignment="1">
      <x:alignment horizontal="right" vertical="center"/>
    </x:xf>
    <x:xf numFmtId="3" fontId="17" fillId="55" borderId="16" xfId="0" applyAlignment="1">
      <x:alignment horizontal="right" vertical="center"/>
    </x:xf>
    <x:xf numFmtId="164" fontId="17" fillId="55" borderId="2" xfId="0" applyAlignment="1">
      <x:alignment horizontal="right" vertical="center"/>
    </x:xf>
    <x:xf numFmtId="3" fontId="17" fillId="55" borderId="2" xfId="0" applyAlignment="1">
      <x:alignment horizontal="right" vertical="center"/>
    </x:xf>
    <x:xf numFmtId="166" fontId="17" fillId="55" borderId="18" xfId="0" applyAlignment="1">
      <x:alignment horizontal="right" vertical="center"/>
    </x:xf>
    <x:xf numFmtId="165" fontId="17" fillId="55" borderId="2" xfId="0" applyAlignment="1">
      <x:alignment horizontal="right" vertical="center"/>
    </x:xf>
    <x:xf numFmtId="164" fontId="17" fillId="55" borderId="15" xfId="0" applyAlignment="1">
      <x:alignment horizontal="right" vertical="center"/>
    </x:xf>
    <x:xf numFmtId="165" fontId="17" fillId="55" borderId="18" xfId="0" applyAlignment="1">
      <x:alignment horizontal="right" vertical="center"/>
    </x:xf>
    <x:xf numFmtId="3" fontId="17" fillId="55" borderId="15" xfId="0" applyAlignment="1">
      <x:alignment horizontal="right" vertical="center"/>
    </x:xf>
    <x:xf numFmtId="167" fontId="17" fillId="55" borderId="2" xfId="0" applyAlignment="1">
      <x:alignment horizontal="right" vertical="center"/>
    </x:xf>
    <x:xf numFmtId="0" fontId="17" fillId="55" borderId="2" xfId="0" applyAlignment="1">
      <x:alignment horizontal="center" vertical="center"/>
    </x:xf>
    <x:xf numFmtId="0" fontId="17" fillId="55" borderId="18" xfId="0" applyAlignment="1">
      <x:alignment horizontal="left" vertical="center"/>
    </x:xf>
    <x:xf numFmtId="0" fontId="17" fillId="55" borderId="15" xfId="0" applyAlignment="1">
      <x:alignment horizontal="right" vertical="center"/>
    </x:xf>
    <x:xf numFmtId="1" fontId="17" fillId="55" borderId="15" xfId="0" applyAlignment="1">
      <x:alignment horizontal="right" vertical="center"/>
    </x:xf>
    <x:xf numFmtId="166" fontId="17" fillId="55" borderId="15" xfId="0" applyAlignment="1">
      <x:alignment horizontal="right" vertical="center"/>
    </x:xf>
    <x:xf numFmtId="165" fontId="17" fillId="55" borderId="15" xfId="0" applyAlignment="1">
      <x:alignment horizontal="right" vertical="center"/>
    </x:xf>
    <x:xf numFmtId="167" fontId="17" fillId="55" borderId="15" xfId="0" applyAlignment="1">
      <x:alignment horizontal="right" vertical="center"/>
    </x:xf>
    <x:xf numFmtId="0" fontId="17" fillId="55" borderId="15" xfId="0" applyAlignment="1">
      <x:alignment horizontal="center" vertical="center"/>
    </x:xf>
    <x:xf numFmtId="0" fontId="17" fillId="55" borderId="15" xfId="0" applyAlignment="1">
      <x:alignment horizontal="left" vertical="center"/>
    </x:xf>
    <x:xf numFmtId="0" fontId="18" fillId="55" borderId="15" xfId="0" applyAlignment="1">
      <x:alignment horizontal="right" vertical="center"/>
    </x:xf>
    <x:xf numFmtId="0" fontId="18" fillId="55" borderId="15" xfId="0" applyAlignment="1">
      <x:alignment horizontal="right" vertical="center" wrapText="1"/>
    </x:xf>
    <x:xf numFmtId="0" fontId="18" fillId="55" borderId="15" xfId="0" applyAlignment="1">
      <x:alignment horizontal="left" vertical="center" wrapText="1"/>
    </x:xf>
    <x:xf numFmtId="166" fontId="11" fillId="55" borderId="15" xfId="0" applyAlignment="1">
      <x:alignment horizontal="right" vertical="center"/>
    </x:xf>
    <x:xf numFmtId="0" fontId="12" fillId="55" borderId="16" xfId="0" applyAlignment="1">
      <x:alignment horizontal="right" vertical="center"/>
    </x:xf>
    <x:xf numFmtId="0" fontId="12" fillId="55" borderId="2" xfId="0" applyAlignment="1">
      <x:alignment horizontal="right" vertical="center"/>
    </x:xf>
    <x:xf numFmtId="0" fontId="12" fillId="55" borderId="18" xfId="0" applyAlignment="1">
      <x:alignment horizontal="right" vertical="center"/>
    </x:xf>
    <x:xf numFmtId="164" fontId="12" fillId="55" borderId="15" xfId="0" applyAlignment="1">
      <x:alignment horizontal="right" vertical="center"/>
    </x:xf>
    <x:xf numFmtId="0" fontId="17" fillId="55" borderId="18" xfId="0" applyAlignment="1">
      <x:alignment horizontal="right" vertical="center"/>
    </x:xf>
    <x:xf numFmtId="164" fontId="12" fillId="51" borderId="15" xfId="0" applyAlignment="1">
      <x:alignment horizontal="right" vertical="center"/>
    </x:xf>
    <x:xf numFmtId="3" fontId="12" fillId="51" borderId="15" xfId="0" applyAlignment="1">
      <x:alignment horizontal="right" vertical="center"/>
    </x:xf>
    <x:xf numFmtId="164" fontId="11" fillId="53" borderId="17" xfId="0" applyAlignment="1">
      <x:alignment horizontal="right" vertical="center"/>
    </x:xf>
    <x:xf numFmtId="164" fontId="17" fillId="53" borderId="17" xfId="0" applyAlignment="1">
      <x:alignment horizontal="right" vertical="center"/>
    </x:xf>
    <x:xf numFmtId="164" fontId="12" fillId="49" borderId="2" xfId="0" applyAlignment="1">
      <x:alignment horizontal="center" vertical="center"/>
    </x:xf>
    <x:xf numFmtId="164" fontId="4" fillId="49" borderId="2" xfId="0" applyAlignment="1">
      <x:alignment horizontal="center" vertical="center"/>
    </x:xf>
    <x:xf numFmtId="164" fontId="11" fillId="55" borderId="17" xfId="0" applyAlignment="1">
      <x:alignment horizontal="right" vertical="center"/>
    </x:xf>
    <x:xf numFmtId="164" fontId="17" fillId="55" borderId="17" xfId="0" applyAlignment="1">
      <x:alignment horizontal="right" vertical="center"/>
    </x:xf>
    <x:xf numFmtId="166" fontId="12" fillId="51" borderId="15" xfId="0" applyAlignment="1">
      <x:alignment horizontal="right" vertical="center"/>
    </x:xf>
    <x:xf numFmtId="0" fontId="11" fillId="55" borderId="18" xfId="0" applyAlignment="1">
      <x:alignment horizontal="right" vertical="center"/>
    </x:xf>
    <x:xf numFmtId="0" fontId="19" fillId="52" borderId="15" xfId="0" applyAlignment="1">
      <x:alignment horizontal="center" vertical="center"/>
    </x:xf>
    <x:xf numFmtId="0" fontId="20" fillId="52" borderId="15" xfId="0" applyAlignment="1">
      <x:alignment horizontal="center" vertical="center"/>
    </x:xf>
    <x:xf numFmtId="164" fontId="9" fillId="54" borderId="15" xfId="0" applyAlignment="1">
      <x:alignment horizontal="right" vertical="center"/>
    </x:xf>
    <x:xf numFmtId="164" fontId="9" fillId="54" borderId="19" xfId="0" applyAlignment="1">
      <x:alignment horizontal="right" vertical="center"/>
    </x:xf>
    <x:xf numFmtId="167" fontId="9" fillId="54" borderId="15" xfId="0" applyAlignment="1">
      <x:alignment horizontal="right" vertical="center"/>
    </x:xf>
    <x:xf numFmtId="167" fontId="9" fillId="54" borderId="19" xfId="0" applyAlignment="1">
      <x:alignment horizontal="right" vertical="center"/>
    </x:xf>
    <x:xf numFmtId="0" fontId="19" fillId="53" borderId="15" xfId="0" applyAlignment="1">
      <x:alignment horizontal="center" vertical="center"/>
    </x:xf>
    <x:xf numFmtId="0" fontId="20" fillId="53" borderId="15" xfId="0" applyAlignment="1">
      <x:alignment horizontal="center" vertical="center"/>
    </x:xf>
    <x:xf numFmtId="0" fontId="19" fillId="54" borderId="15" xfId="0" applyAlignment="1">
      <x:alignment horizontal="center" vertical="center"/>
    </x:xf>
    <x:xf numFmtId="0" fontId="20" fillId="54" borderId="15" xfId="0" applyAlignment="1">
      <x:alignment horizontal="center" vertical="center"/>
    </x:xf>
    <x:xf numFmtId="0" fontId="21" fillId="55" borderId="15" xfId="0" applyAlignment="1">
      <x:alignment horizontal="center" vertical="center"/>
    </x:xf>
    <x:xf numFmtId="0" fontId="19" fillId="55" borderId="15" xfId="0" applyAlignment="1">
      <x:alignment horizontal="center" vertical="center"/>
    </x:xf>
    <x:xf numFmtId="0" fontId="20" fillId="55" borderId="15" xfId="0" applyAlignment="1">
      <x:alignment horizontal="center" vertical="center"/>
    </x:xf>
    <x:xf numFmtId="0" fontId="21" fillId="52" borderId="15" xfId="0" applyAlignment="1">
      <x:alignment horizontal="center" vertical="center"/>
    </x:xf>
    <x:xf numFmtId="0" fontId="21" fillId="53" borderId="15" xfId="0" applyAlignment="1">
      <x:alignment horizontal="center" vertical="center"/>
    </x:xf>
    <x:xf numFmtId="0" fontId="21" fillId="54" borderId="15" xfId="0" applyAlignment="1">
      <x:alignment horizontal="center" vertical="center"/>
    </x:xf>
    <x:xf numFmtId="3" fontId="4" fillId="49" borderId="15" xfId="0" applyAlignment="1">
      <x:alignment horizontal="left" vertical="center"/>
    </x:xf>
    <x:xf numFmtId="3" fontId="4" fillId="51" borderId="15" xfId="0" applyAlignment="1">
      <x:alignment horizontal="left" vertical="center"/>
    </x:xf>
    <x:xf numFmtId="3" fontId="17" fillId="52" borderId="15" xfId="0" applyAlignment="1">
      <x:alignment horizontal="right" vertical="center"/>
    </x:xf>
    <x:xf numFmtId="3" fontId="17" fillId="53" borderId="15" xfId="0" applyAlignment="1">
      <x:alignment horizontal="right" vertical="center"/>
    </x:xf>
    <x:xf numFmtId="3" fontId="17" fillId="54" borderId="15" xfId="0" applyAlignment="1">
      <x:alignment horizontal="right" vertical="center"/>
    </x:xf>
    <x:xf numFmtId="3" fontId="17" fillId="55" borderId="15" xfId="0" applyAlignment="1">
      <x:alignment horizontal="right" vertical="center"/>
    </x:xf>
    <x:xf numFmtId="168" fontId="4" fillId="49" borderId="15" xfId="0" applyAlignment="1">
      <x:alignment horizontal="left" vertical="center"/>
    </x:xf>
    <x:xf numFmtId="168" fontId="4" fillId="51" borderId="15" xfId="0" applyAlignment="1">
      <x:alignment horizontal="left" vertical="center"/>
    </x:xf>
    <x:xf numFmtId="168" fontId="17" fillId="52" borderId="15" xfId="0" applyAlignment="1">
      <x:alignment horizontal="right" vertical="center"/>
    </x:xf>
    <x:xf numFmtId="168" fontId="17" fillId="53" borderId="15" xfId="0" applyAlignment="1">
      <x:alignment horizontal="right" vertical="center"/>
    </x:xf>
    <x:xf numFmtId="168" fontId="17" fillId="54" borderId="15" xfId="0" applyAlignment="1">
      <x:alignment horizontal="right" vertical="center"/>
    </x:xf>
    <x:xf numFmtId="168" fontId="17" fillId="55" borderId="15" xfId="0" applyAlignment="1">
      <x:alignment horizontal="right" vertical="center"/>
    </x:xf>
    <x:xf numFmtId="1" fontId="4" fillId="49" borderId="15" xfId="0" applyAlignment="1">
      <x:alignment horizontal="left" vertical="center"/>
    </x:xf>
    <x:xf numFmtId="1" fontId="4" fillId="51" borderId="15" xfId="0" applyAlignment="1">
      <x:alignment horizontal="left" vertical="center"/>
    </x:xf>
    <x:xf numFmtId="1" fontId="17" fillId="52" borderId="15" xfId="0" applyAlignment="1">
      <x:alignment horizontal="right" vertical="center"/>
    </x:xf>
    <x:xf numFmtId="1" fontId="17" fillId="53" borderId="15" xfId="0" applyAlignment="1">
      <x:alignment horizontal="right" vertical="center"/>
    </x:xf>
    <x:xf numFmtId="1" fontId="17" fillId="54" borderId="15" xfId="0" applyAlignment="1">
      <x:alignment horizontal="right" vertical="center"/>
    </x:xf>
    <x:xf numFmtId="1" fontId="17" fillId="55" borderId="15" xfId="0" applyAlignment="1">
      <x:alignment horizontal="right" vertical="center"/>
    </x:xf>
    <x:xf numFmtId="0" fontId="12" fillId="2" borderId="15" xfId="0" applyAlignment="1">
      <x:alignment horizontal="center" vertical="center" wrapText="1"/>
    </x:xf>
    <x:xf numFmtId="0" fontId="12" fillId="3" borderId="15" xfId="0" applyAlignment="1">
      <x:alignment horizontal="center" vertical="center" wrapText="1"/>
    </x:xf>
    <x:xf numFmtId="0" fontId="12" fillId="2" borderId="15" xfId="0" applyAlignment="1">
      <x:alignment horizontal="left" vertical="center"/>
    </x:xf>
    <x:xf numFmtId="3" fontId="12" fillId="2" borderId="15" xfId="0" applyAlignment="1">
      <x:alignment horizontal="left" vertical="center"/>
    </x:xf>
    <x:xf numFmtId="168" fontId="12" fillId="2" borderId="15" xfId="0" applyAlignment="1">
      <x:alignment horizontal="left" vertical="center"/>
    </x:xf>
    <x:xf numFmtId="1" fontId="12" fillId="2" borderId="15" xfId="0" applyAlignment="1">
      <x:alignment horizontal="left" vertical="center"/>
    </x:xf>
    <x:xf numFmtId="164" fontId="12" fillId="2" borderId="15" xfId="0" applyAlignment="1">
      <x:alignment horizontal="left" vertical="center"/>
    </x:xf>
    <x:xf numFmtId="166" fontId="12" fillId="2" borderId="15" xfId="0" applyAlignment="1">
      <x:alignment horizontal="left" vertical="center"/>
    </x:xf>
    <x:xf numFmtId="165" fontId="12" fillId="2" borderId="15" xfId="0" applyAlignment="1">
      <x:alignment horizontal="left" vertical="center"/>
    </x:xf>
    <x:xf numFmtId="167" fontId="12" fillId="2" borderId="15" xfId="0" applyAlignment="1">
      <x:alignment horizontal="left" vertical="center"/>
    </x:xf>
    <x:xf numFmtId="0" fontId="12" fillId="8" borderId="15" xfId="0" applyAlignment="1">
      <x:alignment horizontal="left" vertical="center"/>
    </x:xf>
    <x:xf numFmtId="3" fontId="12" fillId="8" borderId="15" xfId="0" applyAlignment="1">
      <x:alignment horizontal="left" vertical="center"/>
    </x:xf>
    <x:xf numFmtId="168" fontId="12" fillId="8" borderId="15" xfId="0" applyAlignment="1">
      <x:alignment horizontal="left" vertical="center"/>
    </x:xf>
    <x:xf numFmtId="1" fontId="12" fillId="8" borderId="15" xfId="0" applyAlignment="1">
      <x:alignment horizontal="left" vertical="center"/>
    </x:xf>
    <x:xf numFmtId="164" fontId="12" fillId="8" borderId="15" xfId="0" applyAlignment="1">
      <x:alignment horizontal="left" vertical="center"/>
    </x:xf>
    <x:xf numFmtId="166" fontId="12" fillId="8" borderId="15" xfId="0" applyAlignment="1">
      <x:alignment horizontal="left" vertical="center"/>
    </x:xf>
    <x:xf numFmtId="165" fontId="12" fillId="8" borderId="15" xfId="0" applyAlignment="1">
      <x:alignment horizontal="left" vertical="center"/>
    </x:xf>
    <x:xf numFmtId="167" fontId="12" fillId="8" borderId="15" xfId="0" applyAlignment="1">
      <x:alignment horizontal="left" vertical="center"/>
    </x:xf>
    <x:xf numFmtId="0" fontId="11" fillId="4" borderId="15" xfId="0" applyAlignment="1">
      <x:alignment horizontal="left" vertical="center"/>
    </x:xf>
    <x:xf numFmtId="3" fontId="11" fillId="4" borderId="15" xfId="0" applyAlignment="1">
      <x:alignment horizontal="right" vertical="center"/>
    </x:xf>
    <x:xf numFmtId="168" fontId="11" fillId="4" borderId="15" xfId="0" applyAlignment="1">
      <x:alignment horizontal="right" vertical="center"/>
    </x:xf>
    <x:xf numFmtId="1" fontId="11" fillId="4" borderId="15" xfId="0" applyAlignment="1">
      <x:alignment horizontal="right" vertical="center"/>
    </x:xf>
    <x:xf numFmtId="165" fontId="11" fillId="4" borderId="15" xfId="0" applyAlignment="1">
      <x:alignment horizontal="right" vertical="center"/>
    </x:xf>
    <x:xf numFmtId="167" fontId="11" fillId="4" borderId="15" xfId="0" applyAlignment="1">
      <x:alignment horizontal="right" vertical="center"/>
    </x:xf>
    <x:xf numFmtId="164" fontId="12" fillId="6" borderId="19" xfId="0" applyAlignment="1">
      <x:alignment horizontal="right" vertical="center"/>
    </x:xf>
    <x:xf numFmtId="0" fontId="12" fillId="4" borderId="15" xfId="0" applyAlignment="1">
      <x:alignment horizontal="center" vertical="center"/>
    </x:xf>
    <x:xf numFmtId="0" fontId="11" fillId="4" borderId="15" xfId="0" applyAlignment="1">
      <x:alignment horizontal="left" vertical="center" wrapText="1"/>
    </x:xf>
    <x:xf numFmtId="167" fontId="12" fillId="6" borderId="19" xfId="0" applyAlignment="1">
      <x:alignment horizontal="right" vertical="center"/>
    </x:xf>
    <x:xf numFmtId="0" fontId="11" fillId="5" borderId="15" xfId="0" applyAlignment="1">
      <x:alignment horizontal="left" vertical="center"/>
    </x:xf>
    <x:xf numFmtId="3" fontId="11" fillId="5" borderId="15" xfId="0" applyAlignment="1">
      <x:alignment horizontal="right" vertical="center"/>
    </x:xf>
    <x:xf numFmtId="168" fontId="11" fillId="5" borderId="15" xfId="0" applyAlignment="1">
      <x:alignment horizontal="right" vertical="center"/>
    </x:xf>
    <x:xf numFmtId="1" fontId="11" fillId="5" borderId="15" xfId="0" applyAlignment="1">
      <x:alignment horizontal="right" vertical="center"/>
    </x:xf>
    <x:xf numFmtId="165" fontId="11" fillId="5" borderId="15" xfId="0" applyAlignment="1">
      <x:alignment horizontal="right" vertical="center"/>
    </x:xf>
    <x:xf numFmtId="167" fontId="11" fillId="5" borderId="15" xfId="0" applyAlignment="1">
      <x:alignment horizontal="right" vertical="center"/>
    </x:xf>
    <x:xf numFmtId="0" fontId="12" fillId="5" borderId="15" xfId="0" applyAlignment="1">
      <x:alignment horizontal="center" vertical="center"/>
    </x:xf>
    <x:xf numFmtId="0" fontId="11" fillId="5" borderId="15" xfId="0" applyAlignment="1">
      <x:alignment horizontal="left" vertical="center" wrapText="1"/>
    </x:xf>
    <x:xf numFmtId="0" fontId="11" fillId="6" borderId="15" xfId="0" applyAlignment="1">
      <x:alignment horizontal="left" vertical="center"/>
    </x:xf>
    <x:xf numFmtId="3" fontId="11" fillId="6" borderId="15" xfId="0" applyAlignment="1">
      <x:alignment horizontal="right" vertical="center"/>
    </x:xf>
    <x:xf numFmtId="168" fontId="11" fillId="6" borderId="15" xfId="0" applyAlignment="1">
      <x:alignment horizontal="right" vertical="center"/>
    </x:xf>
    <x:xf numFmtId="1" fontId="11" fillId="6" borderId="15" xfId="0" applyAlignment="1">
      <x:alignment horizontal="right" vertical="center"/>
    </x:xf>
    <x:xf numFmtId="165" fontId="11" fillId="6" borderId="15" xfId="0" applyAlignment="1">
      <x:alignment horizontal="right" vertical="center"/>
    </x:xf>
    <x:xf numFmtId="167" fontId="11" fillId="6" borderId="15" xfId="0" applyAlignment="1">
      <x:alignment horizontal="right" vertical="center"/>
    </x:xf>
    <x:xf numFmtId="0" fontId="12" fillId="6" borderId="15" xfId="0" applyAlignment="1">
      <x:alignment horizontal="center" vertical="center"/>
    </x:xf>
    <x:xf numFmtId="0" fontId="11" fillId="6" borderId="15" xfId="0" applyAlignment="1">
      <x:alignment horizontal="left" vertical="center" wrapText="1"/>
    </x:xf>
    <x:xf numFmtId="0" fontId="11" fillId="7" borderId="15" xfId="0" applyAlignment="1">
      <x:alignment horizontal="left" vertical="center"/>
    </x:xf>
    <x:xf numFmtId="3" fontId="11" fillId="7" borderId="15" xfId="0" applyAlignment="1">
      <x:alignment horizontal="right" vertical="center"/>
    </x:xf>
    <x:xf numFmtId="168" fontId="11" fillId="7" borderId="15" xfId="0" applyAlignment="1">
      <x:alignment horizontal="right" vertical="center"/>
    </x:xf>
    <x:xf numFmtId="1" fontId="11" fillId="7" borderId="15" xfId="0" applyAlignment="1">
      <x:alignment horizontal="right" vertical="center"/>
    </x:xf>
    <x:xf numFmtId="165" fontId="11" fillId="7" borderId="15" xfId="0" applyAlignment="1">
      <x:alignment horizontal="right" vertical="center"/>
    </x:xf>
    <x:xf numFmtId="167" fontId="11" fillId="7" borderId="15" xfId="0" applyAlignment="1">
      <x:alignment horizontal="right" vertical="center"/>
    </x:xf>
    <x:xf numFmtId="0" fontId="12" fillId="7" borderId="15" xfId="0" applyAlignment="1">
      <x:alignment horizontal="center" vertical="center"/>
    </x:xf>
    <x:xf numFmtId="0" fontId="11" fillId="7" borderId="15" xfId="0" applyAlignment="1">
      <x:alignment horizontal="left" vertical="center" wrapText="1"/>
    </x:xf>
    <x:xf numFmtId="0" fontId="12" fillId="56" borderId="3" xfId="0" applyAlignment="1">
      <x:alignment horizontal="left" vertical="center"/>
    </x:xf>
    <x:xf numFmtId="0" fontId="2" fillId="56" borderId="3" xfId="0" applyAlignment="1">
      <x:alignment horizontal="left" vertical="center"/>
    </x:xf>
    <x:xf numFmtId="0" fontId="15" fillId="56" borderId="2" xfId="0" applyAlignment="1">
      <x:alignment horizontal="left" vertical="center"/>
    </x:xf>
    <x:xf numFmtId="0" fontId="3" fillId="56" borderId="2" xfId="0" applyAlignment="1">
      <x:alignment horizontal="left" vertical="center"/>
    </x:xf>
    <x:xf numFmtId="0" fontId="12" fillId="57" borderId="15" xfId="0" applyAlignment="1">
      <x:alignment horizontal="center" vertical="center" wrapText="1"/>
    </x:xf>
    <x:xf numFmtId="0" fontId="4" fillId="57" borderId="15" xfId="0" applyAlignment="1">
      <x:alignment horizontal="center" vertical="center" wrapText="1"/>
    </x:xf>
    <x:xf numFmtId="0" fontId="12" fillId="58" borderId="15" xfId="0" applyAlignment="1">
      <x:alignment horizontal="center" vertical="center" wrapText="1"/>
    </x:xf>
    <x:xf numFmtId="0" fontId="16" fillId="58" borderId="15" xfId="0" applyAlignment="1">
      <x:alignment horizontal="center" vertical="center" wrapText="1"/>
    </x:xf>
    <x:xf numFmtId="0" fontId="12" fillId="57" borderId="15" xfId="0" applyAlignment="1">
      <x:alignment horizontal="left" vertical="center"/>
    </x:xf>
    <x:xf numFmtId="3" fontId="12" fillId="57" borderId="15" xfId="0" applyAlignment="1">
      <x:alignment horizontal="left" vertical="center"/>
    </x:xf>
    <x:xf numFmtId="168" fontId="12" fillId="57" borderId="15" xfId="0" applyAlignment="1">
      <x:alignment horizontal="left" vertical="center"/>
    </x:xf>
    <x:xf numFmtId="1" fontId="12" fillId="57" borderId="15" xfId="0" applyAlignment="1">
      <x:alignment horizontal="left" vertical="center"/>
    </x:xf>
    <x:xf numFmtId="164" fontId="12" fillId="57" borderId="15" xfId="0" applyAlignment="1">
      <x:alignment horizontal="left" vertical="center"/>
    </x:xf>
    <x:xf numFmtId="166" fontId="12" fillId="57" borderId="15" xfId="0" applyAlignment="1">
      <x:alignment horizontal="left" vertical="center"/>
    </x:xf>
    <x:xf numFmtId="165" fontId="12" fillId="57" borderId="15" xfId="0" applyAlignment="1">
      <x:alignment horizontal="left" vertical="center"/>
    </x:xf>
    <x:xf numFmtId="167" fontId="12" fillId="57" borderId="15" xfId="0" applyAlignment="1">
      <x:alignment horizontal="left" vertical="center"/>
    </x:xf>
    <x:xf numFmtId="0" fontId="4" fillId="57" borderId="15" xfId="0" applyAlignment="1">
      <x:alignment horizontal="left" vertical="center"/>
    </x:xf>
    <x:xf numFmtId="3" fontId="4" fillId="57" borderId="15" xfId="0" applyAlignment="1">
      <x:alignment horizontal="left" vertical="center"/>
    </x:xf>
    <x:xf numFmtId="168" fontId="4" fillId="57" borderId="15" xfId="0" applyAlignment="1">
      <x:alignment horizontal="left" vertical="center"/>
    </x:xf>
    <x:xf numFmtId="1" fontId="4" fillId="57" borderId="15" xfId="0" applyAlignment="1">
      <x:alignment horizontal="left" vertical="center"/>
    </x:xf>
    <x:xf numFmtId="164" fontId="4" fillId="57" borderId="15" xfId="0" applyAlignment="1">
      <x:alignment horizontal="left" vertical="center"/>
    </x:xf>
    <x:xf numFmtId="166" fontId="4" fillId="57" borderId="15" xfId="0" applyAlignment="1">
      <x:alignment horizontal="left" vertical="center"/>
    </x:xf>
    <x:xf numFmtId="165" fontId="4" fillId="57" borderId="15" xfId="0" applyAlignment="1">
      <x:alignment horizontal="left" vertical="center"/>
    </x:xf>
    <x:xf numFmtId="167" fontId="4" fillId="57" borderId="15" xfId="0" applyAlignment="1">
      <x:alignment horizontal="left" vertical="center"/>
    </x:xf>
    <x:xf numFmtId="0" fontId="12" fillId="59" borderId="15" xfId="0" applyAlignment="1">
      <x:alignment horizontal="left" vertical="center"/>
    </x:xf>
    <x:xf numFmtId="3" fontId="12" fillId="59" borderId="15" xfId="0" applyAlignment="1">
      <x:alignment horizontal="left" vertical="center"/>
    </x:xf>
    <x:xf numFmtId="168" fontId="12" fillId="59" borderId="15" xfId="0" applyAlignment="1">
      <x:alignment horizontal="left" vertical="center"/>
    </x:xf>
    <x:xf numFmtId="1" fontId="12" fillId="59" borderId="15" xfId="0" applyAlignment="1">
      <x:alignment horizontal="left" vertical="center"/>
    </x:xf>
    <x:xf numFmtId="164" fontId="12" fillId="59" borderId="15" xfId="0" applyAlignment="1">
      <x:alignment horizontal="left" vertical="center"/>
    </x:xf>
    <x:xf numFmtId="166" fontId="12" fillId="59" borderId="15" xfId="0" applyAlignment="1">
      <x:alignment horizontal="left" vertical="center"/>
    </x:xf>
    <x:xf numFmtId="165" fontId="12" fillId="59" borderId="15" xfId="0" applyAlignment="1">
      <x:alignment horizontal="left" vertical="center"/>
    </x:xf>
    <x:xf numFmtId="167" fontId="12" fillId="59" borderId="15" xfId="0" applyAlignment="1">
      <x:alignment horizontal="left" vertical="center"/>
    </x:xf>
    <x:xf numFmtId="0" fontId="4" fillId="59" borderId="15" xfId="0" applyAlignment="1">
      <x:alignment horizontal="left" vertical="center"/>
    </x:xf>
    <x:xf numFmtId="3" fontId="4" fillId="59" borderId="15" xfId="0" applyAlignment="1">
      <x:alignment horizontal="left" vertical="center"/>
    </x:xf>
    <x:xf numFmtId="168" fontId="4" fillId="59" borderId="15" xfId="0" applyAlignment="1">
      <x:alignment horizontal="left" vertical="center"/>
    </x:xf>
    <x:xf numFmtId="1" fontId="4" fillId="59" borderId="15" xfId="0" applyAlignment="1">
      <x:alignment horizontal="left" vertical="center"/>
    </x:xf>
    <x:xf numFmtId="164" fontId="4" fillId="59" borderId="15" xfId="0" applyAlignment="1">
      <x:alignment horizontal="left" vertical="center"/>
    </x:xf>
    <x:xf numFmtId="166" fontId="4" fillId="59" borderId="15" xfId="0" applyAlignment="1">
      <x:alignment horizontal="left" vertical="center"/>
    </x:xf>
    <x:xf numFmtId="165" fontId="4" fillId="59" borderId="15" xfId="0" applyAlignment="1">
      <x:alignment horizontal="left" vertical="center"/>
    </x:xf>
    <x:xf numFmtId="167" fontId="4" fillId="59" borderId="15" xfId="0" applyAlignment="1">
      <x:alignment horizontal="left" vertical="center"/>
    </x:xf>
    <x:xf numFmtId="0" fontId="11" fillId="60" borderId="15" xfId="0" applyAlignment="1">
      <x:alignment horizontal="left" vertical="center"/>
    </x:xf>
    <x:xf numFmtId="3" fontId="11" fillId="60" borderId="15" xfId="0" applyAlignment="1">
      <x:alignment horizontal="right" vertical="center"/>
    </x:xf>
    <x:xf numFmtId="168" fontId="11" fillId="60" borderId="15" xfId="0" applyAlignment="1">
      <x:alignment horizontal="right" vertical="center"/>
    </x:xf>
    <x:xf numFmtId="1" fontId="11" fillId="60" borderId="15" xfId="0" applyAlignment="1">
      <x:alignment horizontal="right" vertical="center"/>
    </x:xf>
    <x:xf numFmtId="164" fontId="11" fillId="60" borderId="15" xfId="0" applyAlignment="1">
      <x:alignment horizontal="right" vertical="center"/>
    </x:xf>
    <x:xf numFmtId="166" fontId="11" fillId="60" borderId="15" xfId="0" applyAlignment="1">
      <x:alignment horizontal="right" vertical="center"/>
    </x:xf>
    <x:xf numFmtId="165" fontId="11" fillId="60" borderId="15" xfId="0" applyAlignment="1">
      <x:alignment horizontal="right" vertical="center"/>
    </x:xf>
    <x:xf numFmtId="167" fontId="11" fillId="60" borderId="15" xfId="0" applyAlignment="1">
      <x:alignment horizontal="right" vertical="center"/>
    </x:xf>
    <x:xf numFmtId="164" fontId="12" fillId="60" borderId="19" xfId="0" applyAlignment="1">
      <x:alignment horizontal="right" vertical="center"/>
    </x:xf>
    <x:xf numFmtId="0" fontId="12" fillId="60" borderId="15" xfId="0" applyAlignment="1">
      <x:alignment horizontal="center" vertical="center"/>
    </x:xf>
    <x:xf numFmtId="0" fontId="11" fillId="60" borderId="15" xfId="0" applyAlignment="1">
      <x:alignment horizontal="left" vertical="center" wrapText="1"/>
    </x:xf>
    <x:xf numFmtId="0" fontId="22" fillId="60" borderId="15" xfId="0" applyAlignment="1">
      <x:alignment horizontal="left" vertical="center"/>
    </x:xf>
    <x:xf numFmtId="3" fontId="22" fillId="60" borderId="15" xfId="0" applyAlignment="1">
      <x:alignment horizontal="right" vertical="center"/>
    </x:xf>
    <x:xf numFmtId="168" fontId="22" fillId="60" borderId="15" xfId="0" applyAlignment="1">
      <x:alignment horizontal="right" vertical="center"/>
    </x:xf>
    <x:xf numFmtId="1" fontId="22" fillId="60" borderId="15" xfId="0" applyAlignment="1">
      <x:alignment horizontal="right" vertical="center"/>
    </x:xf>
    <x:xf numFmtId="164" fontId="22" fillId="60" borderId="15" xfId="0" applyAlignment="1">
      <x:alignment horizontal="right" vertical="center"/>
    </x:xf>
    <x:xf numFmtId="166" fontId="22" fillId="60" borderId="15" xfId="0" applyAlignment="1">
      <x:alignment horizontal="right" vertical="center"/>
    </x:xf>
    <x:xf numFmtId="165" fontId="22" fillId="60" borderId="15" xfId="0" applyAlignment="1">
      <x:alignment horizontal="right" vertical="center"/>
    </x:xf>
    <x:xf numFmtId="167" fontId="22" fillId="60" borderId="15" xfId="0" applyAlignment="1">
      <x:alignment horizontal="right" vertical="center"/>
    </x:xf>
    <x:xf numFmtId="164" fontId="22" fillId="60" borderId="19" xfId="0" applyAlignment="1">
      <x:alignment horizontal="right" vertical="center"/>
    </x:xf>
    <x:xf numFmtId="0" fontId="22" fillId="60" borderId="15" xfId="0" applyAlignment="1">
      <x:alignment horizontal="center" vertical="center"/>
    </x:xf>
    <x:xf numFmtId="0" fontId="22" fillId="60" borderId="15" xfId="0" applyAlignment="1">
      <x:alignment horizontal="left" vertical="center" wrapText="1"/>
    </x:xf>
    <x:xf numFmtId="0" fontId="22" fillId="60" borderId="15" xfId="0" applyAlignment="1">
      <x:alignment horizontal="right" vertical="center"/>
    </x:xf>
    <x:xf numFmtId="0" fontId="22" fillId="60" borderId="15" xfId="0" applyAlignment="1">
      <x:alignment horizontal="right" vertical="center" wrapText="1"/>
    </x:xf>
    <x:xf numFmtId="0" fontId="23" fillId="60" borderId="15" xfId="0" applyAlignment="1">
      <x:alignment horizontal="right" vertical="center" wrapText="1"/>
    </x:xf>
    <x:xf numFmtId="0" fontId="23" fillId="60" borderId="15" xfId="0" applyAlignment="1">
      <x:alignment horizontal="left" vertical="center" wrapText="1"/>
    </x:xf>
    <x:xf numFmtId="167" fontId="12" fillId="60" borderId="19" xfId="0" applyAlignment="1">
      <x:alignment horizontal="right" vertical="center"/>
    </x:xf>
    <x:xf numFmtId="167" fontId="22" fillId="60" borderId="19" xfId="0" applyAlignment="1">
      <x:alignment horizontal="right" vertical="center"/>
    </x:xf>
    <x:xf numFmtId="0" fontId="11" fillId="61" borderId="15" xfId="0" applyAlignment="1">
      <x:alignment horizontal="left" vertical="center"/>
    </x:xf>
    <x:xf numFmtId="3" fontId="11" fillId="61" borderId="15" xfId="0" applyAlignment="1">
      <x:alignment horizontal="right" vertical="center"/>
    </x:xf>
    <x:xf numFmtId="168" fontId="11" fillId="61" borderId="15" xfId="0" applyAlignment="1">
      <x:alignment horizontal="right" vertical="center"/>
    </x:xf>
    <x:xf numFmtId="1" fontId="11" fillId="61" borderId="15" xfId="0" applyAlignment="1">
      <x:alignment horizontal="right" vertical="center"/>
    </x:xf>
    <x:xf numFmtId="164" fontId="11" fillId="61" borderId="15" xfId="0" applyAlignment="1">
      <x:alignment horizontal="right" vertical="center"/>
    </x:xf>
    <x:xf numFmtId="166" fontId="11" fillId="61" borderId="15" xfId="0" applyAlignment="1">
      <x:alignment horizontal="right" vertical="center"/>
    </x:xf>
    <x:xf numFmtId="165" fontId="11" fillId="61" borderId="15" xfId="0" applyAlignment="1">
      <x:alignment horizontal="right" vertical="center"/>
    </x:xf>
    <x:xf numFmtId="167" fontId="11" fillId="61" borderId="15" xfId="0" applyAlignment="1">
      <x:alignment horizontal="right" vertical="center"/>
    </x:xf>
    <x:xf numFmtId="164" fontId="12" fillId="61" borderId="19" xfId="0" applyAlignment="1">
      <x:alignment horizontal="right" vertical="center"/>
    </x:xf>
    <x:xf numFmtId="0" fontId="12" fillId="61" borderId="15" xfId="0" applyAlignment="1">
      <x:alignment horizontal="center" vertical="center"/>
    </x:xf>
    <x:xf numFmtId="0" fontId="11" fillId="61" borderId="15" xfId="0" applyAlignment="1">
      <x:alignment horizontal="left" vertical="center" wrapText="1"/>
    </x:xf>
    <x:xf numFmtId="0" fontId="22" fillId="61" borderId="15" xfId="0" applyAlignment="1">
      <x:alignment horizontal="left" vertical="center"/>
    </x:xf>
    <x:xf numFmtId="3" fontId="22" fillId="61" borderId="15" xfId="0" applyAlignment="1">
      <x:alignment horizontal="right" vertical="center"/>
    </x:xf>
    <x:xf numFmtId="168" fontId="22" fillId="61" borderId="15" xfId="0" applyAlignment="1">
      <x:alignment horizontal="right" vertical="center"/>
    </x:xf>
    <x:xf numFmtId="1" fontId="22" fillId="61" borderId="15" xfId="0" applyAlignment="1">
      <x:alignment horizontal="right" vertical="center"/>
    </x:xf>
    <x:xf numFmtId="164" fontId="22" fillId="61" borderId="15" xfId="0" applyAlignment="1">
      <x:alignment horizontal="right" vertical="center"/>
    </x:xf>
    <x:xf numFmtId="166" fontId="22" fillId="61" borderId="15" xfId="0" applyAlignment="1">
      <x:alignment horizontal="right" vertical="center"/>
    </x:xf>
    <x:xf numFmtId="165" fontId="22" fillId="61" borderId="15" xfId="0" applyAlignment="1">
      <x:alignment horizontal="right" vertical="center"/>
    </x:xf>
    <x:xf numFmtId="167" fontId="22" fillId="61" borderId="15" xfId="0" applyAlignment="1">
      <x:alignment horizontal="right" vertical="center"/>
    </x:xf>
    <x:xf numFmtId="164" fontId="22" fillId="61" borderId="19" xfId="0" applyAlignment="1">
      <x:alignment horizontal="right" vertical="center"/>
    </x:xf>
    <x:xf numFmtId="0" fontId="22" fillId="61" borderId="15" xfId="0" applyAlignment="1">
      <x:alignment horizontal="center" vertical="center"/>
    </x:xf>
    <x:xf numFmtId="0" fontId="22" fillId="61" borderId="15" xfId="0" applyAlignment="1">
      <x:alignment horizontal="left" vertical="center" wrapText="1"/>
    </x:xf>
    <x:xf numFmtId="0" fontId="22" fillId="61" borderId="15" xfId="0" applyAlignment="1">
      <x:alignment horizontal="right" vertical="center"/>
    </x:xf>
    <x:xf numFmtId="0" fontId="22" fillId="61" borderId="15" xfId="0" applyAlignment="1">
      <x:alignment horizontal="right" vertical="center" wrapText="1"/>
    </x:xf>
    <x:xf numFmtId="0" fontId="23" fillId="61" borderId="15" xfId="0" applyAlignment="1">
      <x:alignment horizontal="right" vertical="center" wrapText="1"/>
    </x:xf>
    <x:xf numFmtId="0" fontId="23" fillId="61" borderId="15" xfId="0" applyAlignment="1">
      <x:alignment horizontal="left" vertical="center" wrapText="1"/>
    </x:xf>
    <x:xf numFmtId="167" fontId="12" fillId="61" borderId="19" xfId="0" applyAlignment="1">
      <x:alignment horizontal="right" vertical="center"/>
    </x:xf>
    <x:xf numFmtId="167" fontId="22" fillId="61" borderId="19" xfId="0" applyAlignment="1">
      <x:alignment horizontal="right" vertical="center"/>
    </x:xf>
    <x:xf numFmtId="0" fontId="11" fillId="62" borderId="15" xfId="0" applyAlignment="1">
      <x:alignment horizontal="left" vertical="center"/>
    </x:xf>
    <x:xf numFmtId="3" fontId="11" fillId="62" borderId="15" xfId="0" applyAlignment="1">
      <x:alignment horizontal="right" vertical="center"/>
    </x:xf>
    <x:xf numFmtId="168" fontId="11" fillId="62" borderId="15" xfId="0" applyAlignment="1">
      <x:alignment horizontal="right" vertical="center"/>
    </x:xf>
    <x:xf numFmtId="1" fontId="11" fillId="62" borderId="15" xfId="0" applyAlignment="1">
      <x:alignment horizontal="right" vertical="center"/>
    </x:xf>
    <x:xf numFmtId="164" fontId="11" fillId="62" borderId="15" xfId="0" applyAlignment="1">
      <x:alignment horizontal="right" vertical="center"/>
    </x:xf>
    <x:xf numFmtId="166" fontId="11" fillId="62" borderId="15" xfId="0" applyAlignment="1">
      <x:alignment horizontal="right" vertical="center"/>
    </x:xf>
    <x:xf numFmtId="165" fontId="11" fillId="62" borderId="15" xfId="0" applyAlignment="1">
      <x:alignment horizontal="right" vertical="center"/>
    </x:xf>
    <x:xf numFmtId="167" fontId="11" fillId="62" borderId="15" xfId="0" applyAlignment="1">
      <x:alignment horizontal="right" vertical="center"/>
    </x:xf>
    <x:xf numFmtId="0" fontId="12" fillId="62" borderId="15" xfId="0" applyAlignment="1">
      <x:alignment horizontal="center" vertical="center"/>
    </x:xf>
    <x:xf numFmtId="0" fontId="11" fillId="62" borderId="15" xfId="0" applyAlignment="1">
      <x:alignment horizontal="left" vertical="center" wrapText="1"/>
    </x:xf>
    <x:xf numFmtId="0" fontId="22" fillId="62" borderId="15" xfId="0" applyAlignment="1">
      <x:alignment horizontal="left" vertical="center"/>
    </x:xf>
    <x:xf numFmtId="3" fontId="22" fillId="62" borderId="15" xfId="0" applyAlignment="1">
      <x:alignment horizontal="right" vertical="center"/>
    </x:xf>
    <x:xf numFmtId="168" fontId="22" fillId="62" borderId="15" xfId="0" applyAlignment="1">
      <x:alignment horizontal="right" vertical="center"/>
    </x:xf>
    <x:xf numFmtId="1" fontId="22" fillId="62" borderId="15" xfId="0" applyAlignment="1">
      <x:alignment horizontal="right" vertical="center"/>
    </x:xf>
    <x:xf numFmtId="164" fontId="22" fillId="62" borderId="15" xfId="0" applyAlignment="1">
      <x:alignment horizontal="right" vertical="center"/>
    </x:xf>
    <x:xf numFmtId="166" fontId="22" fillId="62" borderId="15" xfId="0" applyAlignment="1">
      <x:alignment horizontal="right" vertical="center"/>
    </x:xf>
    <x:xf numFmtId="165" fontId="22" fillId="62" borderId="15" xfId="0" applyAlignment="1">
      <x:alignment horizontal="right" vertical="center"/>
    </x:xf>
    <x:xf numFmtId="167" fontId="22" fillId="62" borderId="15" xfId="0" applyAlignment="1">
      <x:alignment horizontal="right" vertical="center"/>
    </x:xf>
    <x:xf numFmtId="0" fontId="22" fillId="62" borderId="15" xfId="0" applyAlignment="1">
      <x:alignment horizontal="center" vertical="center"/>
    </x:xf>
    <x:xf numFmtId="0" fontId="22" fillId="62" borderId="15" xfId="0" applyAlignment="1">
      <x:alignment horizontal="left" vertical="center" wrapText="1"/>
    </x:xf>
    <x:xf numFmtId="0" fontId="22" fillId="62" borderId="15" xfId="0" applyAlignment="1">
      <x:alignment horizontal="right" vertical="center"/>
    </x:xf>
    <x:xf numFmtId="0" fontId="22" fillId="62" borderId="15" xfId="0" applyAlignment="1">
      <x:alignment horizontal="right" vertical="center" wrapText="1"/>
    </x:xf>
    <x:xf numFmtId="0" fontId="23" fillId="62" borderId="15" xfId="0" applyAlignment="1">
      <x:alignment horizontal="right" vertical="center" wrapText="1"/>
    </x:xf>
    <x:xf numFmtId="0" fontId="23" fillId="62" borderId="15" xfId="0" applyAlignment="1">
      <x:alignment horizontal="left" vertical="center" wrapText="1"/>
    </x:xf>
    <x:xf numFmtId="0" fontId="11" fillId="63" borderId="15" xfId="0" applyAlignment="1">
      <x:alignment horizontal="left" vertical="center"/>
    </x:xf>
    <x:xf numFmtId="3" fontId="11" fillId="63" borderId="15" xfId="0" applyAlignment="1">
      <x:alignment horizontal="right" vertical="center"/>
    </x:xf>
    <x:xf numFmtId="168" fontId="11" fillId="63" borderId="15" xfId="0" applyAlignment="1">
      <x:alignment horizontal="right" vertical="center"/>
    </x:xf>
    <x:xf numFmtId="1" fontId="11" fillId="63" borderId="15" xfId="0" applyAlignment="1">
      <x:alignment horizontal="right" vertical="center"/>
    </x:xf>
    <x:xf numFmtId="164" fontId="11" fillId="63" borderId="15" xfId="0" applyAlignment="1">
      <x:alignment horizontal="right" vertical="center"/>
    </x:xf>
    <x:xf numFmtId="166" fontId="11" fillId="63" borderId="15" xfId="0" applyAlignment="1">
      <x:alignment horizontal="right" vertical="center"/>
    </x:xf>
    <x:xf numFmtId="165" fontId="11" fillId="63" borderId="15" xfId="0" applyAlignment="1">
      <x:alignment horizontal="right" vertical="center"/>
    </x:xf>
    <x:xf numFmtId="167" fontId="11" fillId="63" borderId="15" xfId="0" applyAlignment="1">
      <x:alignment horizontal="right" vertical="center"/>
    </x:xf>
    <x:xf numFmtId="0" fontId="12" fillId="63" borderId="15" xfId="0" applyAlignment="1">
      <x:alignment horizontal="center" vertical="center"/>
    </x:xf>
    <x:xf numFmtId="0" fontId="11" fillId="63" borderId="15" xfId="0" applyAlignment="1">
      <x:alignment horizontal="left" vertical="center" wrapText="1"/>
    </x:xf>
    <x:xf numFmtId="0" fontId="22" fillId="63" borderId="15" xfId="0" applyAlignment="1">
      <x:alignment horizontal="left" vertical="center"/>
    </x:xf>
    <x:xf numFmtId="3" fontId="22" fillId="63" borderId="15" xfId="0" applyAlignment="1">
      <x:alignment horizontal="right" vertical="center"/>
    </x:xf>
    <x:xf numFmtId="168" fontId="22" fillId="63" borderId="15" xfId="0" applyAlignment="1">
      <x:alignment horizontal="right" vertical="center"/>
    </x:xf>
    <x:xf numFmtId="1" fontId="22" fillId="63" borderId="15" xfId="0" applyAlignment="1">
      <x:alignment horizontal="right" vertical="center"/>
    </x:xf>
    <x:xf numFmtId="164" fontId="22" fillId="63" borderId="15" xfId="0" applyAlignment="1">
      <x:alignment horizontal="right" vertical="center"/>
    </x:xf>
    <x:xf numFmtId="166" fontId="22" fillId="63" borderId="15" xfId="0" applyAlignment="1">
      <x:alignment horizontal="right" vertical="center"/>
    </x:xf>
    <x:xf numFmtId="165" fontId="22" fillId="63" borderId="15" xfId="0" applyAlignment="1">
      <x:alignment horizontal="right" vertical="center"/>
    </x:xf>
    <x:xf numFmtId="167" fontId="22" fillId="63" borderId="15" xfId="0" applyAlignment="1">
      <x:alignment horizontal="right" vertical="center"/>
    </x:xf>
    <x:xf numFmtId="0" fontId="22" fillId="63" borderId="15" xfId="0" applyAlignment="1">
      <x:alignment horizontal="center" vertical="center"/>
    </x:xf>
    <x:xf numFmtId="0" fontId="22" fillId="63" borderId="15" xfId="0" applyAlignment="1">
      <x:alignment horizontal="left" vertical="center" wrapText="1"/>
    </x:xf>
    <x:xf numFmtId="0" fontId="22" fillId="63" borderId="15" xfId="0" applyAlignment="1">
      <x:alignment horizontal="right" vertical="center"/>
    </x:xf>
    <x:xf numFmtId="0" fontId="22" fillId="63" borderId="15" xfId="0" applyAlignment="1">
      <x:alignment horizontal="right" vertical="center" wrapText="1"/>
    </x:xf>
    <x:xf numFmtId="0" fontId="23" fillId="63" borderId="15" xfId="0" applyAlignment="1">
      <x:alignment horizontal="right" vertical="center" wrapText="1"/>
    </x:xf>
    <x:xf numFmtId="0" fontId="23" fillId="63" borderId="15" xfId="0" applyAlignment="1">
      <x:alignment horizontal="left" vertical="center" wrapText="1"/>
    </x:xf>
    <x:xf numFmtId="0" fontId="19" fillId="60" borderId="15" xfId="0" applyAlignment="1">
      <x:alignment horizontal="center" vertical="center"/>
    </x:xf>
    <x:xf numFmtId="0" fontId="20" fillId="60" borderId="15" xfId="0" applyAlignment="1">
      <x:alignment horizontal="center" vertical="center"/>
    </x:xf>
    <x:xf numFmtId="164" fontId="9" fillId="62" borderId="15" xfId="0" applyAlignment="1">
      <x:alignment horizontal="right" vertical="center"/>
    </x:xf>
    <x:xf numFmtId="164" fontId="9" fillId="62" borderId="19" xfId="0" applyAlignment="1">
      <x:alignment horizontal="right" vertical="center"/>
    </x:xf>
    <x:xf numFmtId="167" fontId="9" fillId="62" borderId="15" xfId="0" applyAlignment="1">
      <x:alignment horizontal="right" vertical="center"/>
    </x:xf>
    <x:xf numFmtId="167" fontId="9" fillId="62" borderId="19" xfId="0" applyAlignment="1">
      <x:alignment horizontal="right" vertical="center"/>
    </x:xf>
    <x:xf numFmtId="0" fontId="19" fillId="61" borderId="15" xfId="0" applyAlignment="1">
      <x:alignment horizontal="center" vertical="center"/>
    </x:xf>
    <x:xf numFmtId="0" fontId="20" fillId="61" borderId="15" xfId="0" applyAlignment="1">
      <x:alignment horizontal="center" vertical="center"/>
    </x:xf>
    <x:xf numFmtId="0" fontId="19" fillId="62" borderId="15" xfId="0" applyAlignment="1">
      <x:alignment horizontal="center" vertical="center"/>
    </x:xf>
    <x:xf numFmtId="0" fontId="20" fillId="62" borderId="15" xfId="0" applyAlignment="1">
      <x:alignment horizontal="center" vertical="center"/>
    </x:xf>
    <x:xf numFmtId="0" fontId="21" fillId="63" borderId="15" xfId="0" applyAlignment="1">
      <x:alignment horizontal="center" vertical="center"/>
    </x:xf>
    <x:xf numFmtId="0" fontId="19" fillId="63" borderId="15" xfId="0" applyAlignment="1">
      <x:alignment horizontal="center" vertical="center"/>
    </x:xf>
    <x:xf numFmtId="0" fontId="20" fillId="63" borderId="15" xfId="0" applyAlignment="1">
      <x:alignment horizontal="center" vertical="center"/>
    </x:xf>
    <x:xf numFmtId="0" fontId="21" fillId="60" borderId="15" xfId="0" applyAlignment="1">
      <x:alignment horizontal="center" vertical="center"/>
    </x:xf>
    <x:xf numFmtId="0" fontId="21" fillId="61" borderId="15" xfId="0" applyAlignment="1">
      <x:alignment horizontal="center" vertical="center"/>
    </x:xf>
    <x:xf numFmtId="0" fontId="21" fillId="62" borderId="15" xfId="0" applyAlignment="1">
      <x:alignment horizontal="center" vertical="center"/>
    </x:xf>
    <x:xf numFmtId="3" fontId="9" fillId="60" borderId="15" xfId="0" applyAlignment="1">
      <x:alignment horizontal="right" vertical="center"/>
    </x:xf>
    <x:xf numFmtId="164" fontId="22" fillId="64" borderId="15" xfId="0" applyAlignment="1">
      <x:alignment horizontal="right" vertical="center"/>
    </x:xf>
    <x:xf numFmtId="164" fontId="9" fillId="64" borderId="15" xfId="0" applyAlignment="1">
      <x:alignment horizontal="right" vertical="center"/>
    </x:xf>
    <x:xf numFmtId="164" fontId="9" fillId="64" borderId="19" xfId="0" applyAlignment="1">
      <x:alignment horizontal="right" vertical="center"/>
    </x:xf>
    <x:xf numFmtId="3" fontId="9" fillId="61" borderId="15" xfId="0" applyAlignment="1">
      <x:alignment horizontal="right" vertical="center"/>
    </x:xf>
    <x:xf numFmtId="3" fontId="9" fillId="62" borderId="15" xfId="0" applyAlignment="1">
      <x:alignment horizontal="right" vertical="center"/>
    </x:xf>
    <x:xf numFmtId="3" fontId="9" fillId="63" borderId="15" xfId="0" applyAlignment="1">
      <x:alignment horizontal="right" vertical="center"/>
    </x:xf>
    <x:xf numFmtId="3" fontId="12" fillId="4" borderId="15" xfId="0" applyAlignment="1">
      <x:alignment horizontal="right" vertical="center"/>
    </x:xf>
    <x:xf numFmtId="164" fontId="12" fillId="9" borderId="19" xfId="0" applyAlignment="1">
      <x:alignment horizontal="right" vertical="center"/>
    </x:xf>
    <x:xf numFmtId="3" fontId="12" fillId="5" borderId="15" xfId="0" applyAlignment="1">
      <x:alignment horizontal="right" vertical="center"/>
    </x:xf>
    <x:xf numFmtId="3" fontId="12" fillId="6" borderId="15" xfId="0" applyAlignment="1">
      <x:alignment horizontal="right" vertical="center"/>
    </x:xf>
    <x:xf numFmtId="3" fontId="12" fillId="7" borderId="15" xfId="0" applyAlignment="1">
      <x:alignment horizontal="right" vertical="center"/>
    </x:xf>
    <x:xf numFmtId="0" fontId="12" fillId="65" borderId="3" xfId="0" applyAlignment="1">
      <x:alignment horizontal="left" vertical="center"/>
    </x:xf>
    <x:xf numFmtId="0" fontId="2" fillId="65" borderId="3" xfId="0" applyAlignment="1">
      <x:alignment horizontal="left" vertical="center"/>
    </x:xf>
    <x:xf numFmtId="0" fontId="15" fillId="65" borderId="2" xfId="0" applyAlignment="1">
      <x:alignment horizontal="left" vertical="center"/>
    </x:xf>
    <x:xf numFmtId="0" fontId="3" fillId="65" borderId="2" xfId="0" applyAlignment="1">
      <x:alignment horizontal="left" vertical="center"/>
    </x:xf>
    <x:xf numFmtId="0" fontId="12" fillId="66" borderId="15" xfId="0" applyAlignment="1">
      <x:alignment horizontal="center" vertical="center" wrapText="1"/>
    </x:xf>
    <x:xf numFmtId="0" fontId="4" fillId="66" borderId="15" xfId="0" applyAlignment="1">
      <x:alignment horizontal="center" vertical="center" wrapText="1"/>
    </x:xf>
    <x:xf numFmtId="0" fontId="12" fillId="67" borderId="15" xfId="0" applyAlignment="1">
      <x:alignment horizontal="center" vertical="center" wrapText="1"/>
    </x:xf>
    <x:xf numFmtId="0" fontId="16" fillId="67" borderId="15" xfId="0" applyAlignment="1">
      <x:alignment horizontal="center" vertical="center" wrapText="1"/>
    </x:xf>
    <x:xf numFmtId="0" fontId="12" fillId="66" borderId="15" xfId="0" applyAlignment="1">
      <x:alignment horizontal="left" vertical="center"/>
    </x:xf>
    <x:xf numFmtId="3" fontId="12" fillId="66" borderId="15" xfId="0" applyAlignment="1">
      <x:alignment horizontal="left" vertical="center"/>
    </x:xf>
    <x:xf numFmtId="168" fontId="12" fillId="66" borderId="15" xfId="0" applyAlignment="1">
      <x:alignment horizontal="left" vertical="center"/>
    </x:xf>
    <x:xf numFmtId="1" fontId="12" fillId="66" borderId="15" xfId="0" applyAlignment="1">
      <x:alignment horizontal="left" vertical="center"/>
    </x:xf>
    <x:xf numFmtId="164" fontId="12" fillId="66" borderId="15" xfId="0" applyAlignment="1">
      <x:alignment horizontal="left" vertical="center"/>
    </x:xf>
    <x:xf numFmtId="166" fontId="12" fillId="66" borderId="15" xfId="0" applyAlignment="1">
      <x:alignment horizontal="left" vertical="center"/>
    </x:xf>
    <x:xf numFmtId="165" fontId="12" fillId="66" borderId="15" xfId="0" applyAlignment="1">
      <x:alignment horizontal="left" vertical="center"/>
    </x:xf>
    <x:xf numFmtId="167" fontId="12" fillId="66" borderId="15" xfId="0" applyAlignment="1">
      <x:alignment horizontal="left" vertical="center"/>
    </x:xf>
    <x:xf numFmtId="0" fontId="4" fillId="66" borderId="15" xfId="0" applyAlignment="1">
      <x:alignment horizontal="left" vertical="center"/>
    </x:xf>
    <x:xf numFmtId="3" fontId="4" fillId="66" borderId="15" xfId="0" applyAlignment="1">
      <x:alignment horizontal="left" vertical="center"/>
    </x:xf>
    <x:xf numFmtId="168" fontId="4" fillId="66" borderId="15" xfId="0" applyAlignment="1">
      <x:alignment horizontal="left" vertical="center"/>
    </x:xf>
    <x:xf numFmtId="1" fontId="4" fillId="66" borderId="15" xfId="0" applyAlignment="1">
      <x:alignment horizontal="left" vertical="center"/>
    </x:xf>
    <x:xf numFmtId="164" fontId="4" fillId="66" borderId="15" xfId="0" applyAlignment="1">
      <x:alignment horizontal="left" vertical="center"/>
    </x:xf>
    <x:xf numFmtId="166" fontId="4" fillId="66" borderId="15" xfId="0" applyAlignment="1">
      <x:alignment horizontal="left" vertical="center"/>
    </x:xf>
    <x:xf numFmtId="165" fontId="4" fillId="66" borderId="15" xfId="0" applyAlignment="1">
      <x:alignment horizontal="left" vertical="center"/>
    </x:xf>
    <x:xf numFmtId="167" fontId="4" fillId="66" borderId="15" xfId="0" applyAlignment="1">
      <x:alignment horizontal="left" vertical="center"/>
    </x:xf>
    <x:xf numFmtId="0" fontId="12" fillId="68" borderId="15" xfId="0" applyAlignment="1">
      <x:alignment horizontal="left" vertical="center"/>
    </x:xf>
    <x:xf numFmtId="3" fontId="12" fillId="68" borderId="15" xfId="0" applyAlignment="1">
      <x:alignment horizontal="left" vertical="center"/>
    </x:xf>
    <x:xf numFmtId="168" fontId="12" fillId="68" borderId="15" xfId="0" applyAlignment="1">
      <x:alignment horizontal="left" vertical="center"/>
    </x:xf>
    <x:xf numFmtId="1" fontId="12" fillId="68" borderId="15" xfId="0" applyAlignment="1">
      <x:alignment horizontal="left" vertical="center"/>
    </x:xf>
    <x:xf numFmtId="164" fontId="12" fillId="68" borderId="15" xfId="0" applyAlignment="1">
      <x:alignment horizontal="left" vertical="center"/>
    </x:xf>
    <x:xf numFmtId="166" fontId="12" fillId="68" borderId="15" xfId="0" applyAlignment="1">
      <x:alignment horizontal="left" vertical="center"/>
    </x:xf>
    <x:xf numFmtId="165" fontId="12" fillId="68" borderId="15" xfId="0" applyAlignment="1">
      <x:alignment horizontal="left" vertical="center"/>
    </x:xf>
    <x:xf numFmtId="167" fontId="12" fillId="68" borderId="15" xfId="0" applyAlignment="1">
      <x:alignment horizontal="left" vertical="center"/>
    </x:xf>
    <x:xf numFmtId="0" fontId="4" fillId="68" borderId="15" xfId="0" applyAlignment="1">
      <x:alignment horizontal="left" vertical="center"/>
    </x:xf>
    <x:xf numFmtId="3" fontId="4" fillId="68" borderId="15" xfId="0" applyAlignment="1">
      <x:alignment horizontal="left" vertical="center"/>
    </x:xf>
    <x:xf numFmtId="168" fontId="4" fillId="68" borderId="15" xfId="0" applyAlignment="1">
      <x:alignment horizontal="left" vertical="center"/>
    </x:xf>
    <x:xf numFmtId="1" fontId="4" fillId="68" borderId="15" xfId="0" applyAlignment="1">
      <x:alignment horizontal="left" vertical="center"/>
    </x:xf>
    <x:xf numFmtId="164" fontId="4" fillId="68" borderId="15" xfId="0" applyAlignment="1">
      <x:alignment horizontal="left" vertical="center"/>
    </x:xf>
    <x:xf numFmtId="166" fontId="4" fillId="68" borderId="15" xfId="0" applyAlignment="1">
      <x:alignment horizontal="left" vertical="center"/>
    </x:xf>
    <x:xf numFmtId="165" fontId="4" fillId="68" borderId="15" xfId="0" applyAlignment="1">
      <x:alignment horizontal="left" vertical="center"/>
    </x:xf>
    <x:xf numFmtId="167" fontId="4" fillId="68" borderId="15" xfId="0" applyAlignment="1">
      <x:alignment horizontal="left" vertical="center"/>
    </x:xf>
    <x:xf numFmtId="0" fontId="11" fillId="69" borderId="15" xfId="0" applyAlignment="1">
      <x:alignment horizontal="left" vertical="center"/>
    </x:xf>
    <x:xf numFmtId="3" fontId="11" fillId="69" borderId="15" xfId="0" applyAlignment="1">
      <x:alignment horizontal="right" vertical="center"/>
    </x:xf>
    <x:xf numFmtId="168" fontId="11" fillId="69" borderId="15" xfId="0" applyAlignment="1">
      <x:alignment horizontal="right" vertical="center"/>
    </x:xf>
    <x:xf numFmtId="1" fontId="11" fillId="69" borderId="15" xfId="0" applyAlignment="1">
      <x:alignment horizontal="right" vertical="center"/>
    </x:xf>
    <x:xf numFmtId="164" fontId="11" fillId="69" borderId="15" xfId="0" applyAlignment="1">
      <x:alignment horizontal="right" vertical="center"/>
    </x:xf>
    <x:xf numFmtId="166" fontId="11" fillId="69" borderId="15" xfId="0" applyAlignment="1">
      <x:alignment horizontal="right" vertical="center"/>
    </x:xf>
    <x:xf numFmtId="165" fontId="11" fillId="69" borderId="15" xfId="0" applyAlignment="1">
      <x:alignment horizontal="right" vertical="center"/>
    </x:xf>
    <x:xf numFmtId="167" fontId="11" fillId="69" borderId="15" xfId="0" applyAlignment="1">
      <x:alignment horizontal="right" vertical="center"/>
    </x:xf>
    <x:xf numFmtId="164" fontId="12" fillId="69" borderId="19" xfId="0" applyAlignment="1">
      <x:alignment horizontal="right" vertical="center"/>
    </x:xf>
    <x:xf numFmtId="0" fontId="12" fillId="69" borderId="15" xfId="0" applyAlignment="1">
      <x:alignment horizontal="center" vertical="center"/>
    </x:xf>
    <x:xf numFmtId="0" fontId="11" fillId="69" borderId="15" xfId="0" applyAlignment="1">
      <x:alignment horizontal="left" vertical="center" wrapText="1"/>
    </x:xf>
    <x:xf numFmtId="0" fontId="24" fillId="69" borderId="15" xfId="0" applyAlignment="1">
      <x:alignment horizontal="left" vertical="center"/>
    </x:xf>
    <x:xf numFmtId="3" fontId="24" fillId="69" borderId="15" xfId="0" applyAlignment="1">
      <x:alignment horizontal="right" vertical="center"/>
    </x:xf>
    <x:xf numFmtId="168" fontId="24" fillId="69" borderId="15" xfId="0" applyAlignment="1">
      <x:alignment horizontal="right" vertical="center"/>
    </x:xf>
    <x:xf numFmtId="1" fontId="24" fillId="69" borderId="15" xfId="0" applyAlignment="1">
      <x:alignment horizontal="right" vertical="center"/>
    </x:xf>
    <x:xf numFmtId="164" fontId="24" fillId="69" borderId="15" xfId="0" applyAlignment="1">
      <x:alignment horizontal="right" vertical="center"/>
    </x:xf>
    <x:xf numFmtId="166" fontId="24" fillId="69" borderId="15" xfId="0" applyAlignment="1">
      <x:alignment horizontal="right" vertical="center"/>
    </x:xf>
    <x:xf numFmtId="165" fontId="24" fillId="69" borderId="15" xfId="0" applyAlignment="1">
      <x:alignment horizontal="right" vertical="center"/>
    </x:xf>
    <x:xf numFmtId="167" fontId="24" fillId="69" borderId="15" xfId="0" applyAlignment="1">
      <x:alignment horizontal="right" vertical="center"/>
    </x:xf>
    <x:xf numFmtId="164" fontId="24" fillId="69" borderId="19" xfId="0" applyAlignment="1">
      <x:alignment horizontal="right" vertical="center"/>
    </x:xf>
    <x:xf numFmtId="0" fontId="24" fillId="69" borderId="15" xfId="0" applyAlignment="1">
      <x:alignment horizontal="center" vertical="center"/>
    </x:xf>
    <x:xf numFmtId="0" fontId="24" fillId="69" borderId="15" xfId="0" applyAlignment="1">
      <x:alignment horizontal="left" vertical="center" wrapText="1"/>
    </x:xf>
    <x:xf numFmtId="0" fontId="24" fillId="69" borderId="15" xfId="0" applyAlignment="1">
      <x:alignment horizontal="right" vertical="center"/>
    </x:xf>
    <x:xf numFmtId="0" fontId="24" fillId="69" borderId="15" xfId="0" applyAlignment="1">
      <x:alignment horizontal="right" vertical="center" wrapText="1"/>
    </x:xf>
    <x:xf numFmtId="0" fontId="25" fillId="69" borderId="15" xfId="0" applyAlignment="1">
      <x:alignment horizontal="right" vertical="center" wrapText="1"/>
    </x:xf>
    <x:xf numFmtId="0" fontId="25" fillId="69" borderId="15" xfId="0" applyAlignment="1">
      <x:alignment horizontal="left" vertical="center" wrapText="1"/>
    </x:xf>
    <x:xf numFmtId="167" fontId="12" fillId="69" borderId="19" xfId="0" applyAlignment="1">
      <x:alignment horizontal="right" vertical="center"/>
    </x:xf>
    <x:xf numFmtId="167" fontId="24" fillId="69" borderId="19" xfId="0" applyAlignment="1">
      <x:alignment horizontal="right" vertical="center"/>
    </x:xf>
    <x:xf numFmtId="3" fontId="12" fillId="69" borderId="15" xfId="0" applyAlignment="1">
      <x:alignment horizontal="right" vertical="center"/>
    </x:xf>
    <x:xf numFmtId="0" fontId="11" fillId="70" borderId="15" xfId="0" applyAlignment="1">
      <x:alignment horizontal="left" vertical="center"/>
    </x:xf>
    <x:xf numFmtId="3" fontId="11" fillId="70" borderId="15" xfId="0" applyAlignment="1">
      <x:alignment horizontal="right" vertical="center"/>
    </x:xf>
    <x:xf numFmtId="168" fontId="11" fillId="70" borderId="15" xfId="0" applyAlignment="1">
      <x:alignment horizontal="right" vertical="center"/>
    </x:xf>
    <x:xf numFmtId="1" fontId="11" fillId="70" borderId="15" xfId="0" applyAlignment="1">
      <x:alignment horizontal="right" vertical="center"/>
    </x:xf>
    <x:xf numFmtId="164" fontId="11" fillId="70" borderId="15" xfId="0" applyAlignment="1">
      <x:alignment horizontal="right" vertical="center"/>
    </x:xf>
    <x:xf numFmtId="166" fontId="11" fillId="70" borderId="15" xfId="0" applyAlignment="1">
      <x:alignment horizontal="right" vertical="center"/>
    </x:xf>
    <x:xf numFmtId="165" fontId="11" fillId="70" borderId="15" xfId="0" applyAlignment="1">
      <x:alignment horizontal="right" vertical="center"/>
    </x:xf>
    <x:xf numFmtId="167" fontId="11" fillId="70" borderId="15" xfId="0" applyAlignment="1">
      <x:alignment horizontal="right" vertical="center"/>
    </x:xf>
    <x:xf numFmtId="164" fontId="12" fillId="70" borderId="19" xfId="0" applyAlignment="1">
      <x:alignment horizontal="right" vertical="center"/>
    </x:xf>
    <x:xf numFmtId="0" fontId="12" fillId="70" borderId="15" xfId="0" applyAlignment="1">
      <x:alignment horizontal="center" vertical="center"/>
    </x:xf>
    <x:xf numFmtId="0" fontId="11" fillId="70" borderId="15" xfId="0" applyAlignment="1">
      <x:alignment horizontal="left" vertical="center" wrapText="1"/>
    </x:xf>
    <x:xf numFmtId="0" fontId="24" fillId="70" borderId="15" xfId="0" applyAlignment="1">
      <x:alignment horizontal="left" vertical="center"/>
    </x:xf>
    <x:xf numFmtId="3" fontId="24" fillId="70" borderId="15" xfId="0" applyAlignment="1">
      <x:alignment horizontal="right" vertical="center"/>
    </x:xf>
    <x:xf numFmtId="168" fontId="24" fillId="70" borderId="15" xfId="0" applyAlignment="1">
      <x:alignment horizontal="right" vertical="center"/>
    </x:xf>
    <x:xf numFmtId="1" fontId="24" fillId="70" borderId="15" xfId="0" applyAlignment="1">
      <x:alignment horizontal="right" vertical="center"/>
    </x:xf>
    <x:xf numFmtId="164" fontId="24" fillId="70" borderId="15" xfId="0" applyAlignment="1">
      <x:alignment horizontal="right" vertical="center"/>
    </x:xf>
    <x:xf numFmtId="166" fontId="24" fillId="70" borderId="15" xfId="0" applyAlignment="1">
      <x:alignment horizontal="right" vertical="center"/>
    </x:xf>
    <x:xf numFmtId="165" fontId="24" fillId="70" borderId="15" xfId="0" applyAlignment="1">
      <x:alignment horizontal="right" vertical="center"/>
    </x:xf>
    <x:xf numFmtId="167" fontId="24" fillId="70" borderId="15" xfId="0" applyAlignment="1">
      <x:alignment horizontal="right" vertical="center"/>
    </x:xf>
    <x:xf numFmtId="164" fontId="24" fillId="70" borderId="19" xfId="0" applyAlignment="1">
      <x:alignment horizontal="right" vertical="center"/>
    </x:xf>
    <x:xf numFmtId="0" fontId="24" fillId="70" borderId="15" xfId="0" applyAlignment="1">
      <x:alignment horizontal="center" vertical="center"/>
    </x:xf>
    <x:xf numFmtId="0" fontId="24" fillId="70" borderId="15" xfId="0" applyAlignment="1">
      <x:alignment horizontal="left" vertical="center" wrapText="1"/>
    </x:xf>
    <x:xf numFmtId="0" fontId="24" fillId="70" borderId="15" xfId="0" applyAlignment="1">
      <x:alignment horizontal="right" vertical="center"/>
    </x:xf>
    <x:xf numFmtId="0" fontId="24" fillId="70" borderId="15" xfId="0" applyAlignment="1">
      <x:alignment horizontal="right" vertical="center" wrapText="1"/>
    </x:xf>
    <x:xf numFmtId="0" fontId="25" fillId="70" borderId="15" xfId="0" applyAlignment="1">
      <x:alignment horizontal="right" vertical="center" wrapText="1"/>
    </x:xf>
    <x:xf numFmtId="0" fontId="25" fillId="70" borderId="15" xfId="0" applyAlignment="1">
      <x:alignment horizontal="left" vertical="center" wrapText="1"/>
    </x:xf>
    <x:xf numFmtId="167" fontId="12" fillId="70" borderId="19" xfId="0" applyAlignment="1">
      <x:alignment horizontal="right" vertical="center"/>
    </x:xf>
    <x:xf numFmtId="167" fontId="24" fillId="70" borderId="19" xfId="0" applyAlignment="1">
      <x:alignment horizontal="right" vertical="center"/>
    </x:xf>
    <x:xf numFmtId="3" fontId="12" fillId="70" borderId="15" xfId="0" applyAlignment="1">
      <x:alignment horizontal="right" vertical="center"/>
    </x:xf>
    <x:xf numFmtId="0" fontId="11" fillId="71" borderId="15" xfId="0" applyAlignment="1">
      <x:alignment horizontal="left" vertical="center"/>
    </x:xf>
    <x:xf numFmtId="3" fontId="11" fillId="71" borderId="15" xfId="0" applyAlignment="1">
      <x:alignment horizontal="right" vertical="center"/>
    </x:xf>
    <x:xf numFmtId="168" fontId="11" fillId="71" borderId="15" xfId="0" applyAlignment="1">
      <x:alignment horizontal="right" vertical="center"/>
    </x:xf>
    <x:xf numFmtId="1" fontId="11" fillId="71" borderId="15" xfId="0" applyAlignment="1">
      <x:alignment horizontal="right" vertical="center"/>
    </x:xf>
    <x:xf numFmtId="164" fontId="11" fillId="71" borderId="15" xfId="0" applyAlignment="1">
      <x:alignment horizontal="right" vertical="center"/>
    </x:xf>
    <x:xf numFmtId="166" fontId="11" fillId="71" borderId="15" xfId="0" applyAlignment="1">
      <x:alignment horizontal="right" vertical="center"/>
    </x:xf>
    <x:xf numFmtId="165" fontId="11" fillId="71" borderId="15" xfId="0" applyAlignment="1">
      <x:alignment horizontal="right" vertical="center"/>
    </x:xf>
    <x:xf numFmtId="167" fontId="11" fillId="71" borderId="15" xfId="0" applyAlignment="1">
      <x:alignment horizontal="right" vertical="center"/>
    </x:xf>
    <x:xf numFmtId="164" fontId="12" fillId="71" borderId="19" xfId="0" applyAlignment="1">
      <x:alignment horizontal="right" vertical="center"/>
    </x:xf>
    <x:xf numFmtId="0" fontId="12" fillId="71" borderId="15" xfId="0" applyAlignment="1">
      <x:alignment horizontal="center" vertical="center"/>
    </x:xf>
    <x:xf numFmtId="0" fontId="11" fillId="71" borderId="15" xfId="0" applyAlignment="1">
      <x:alignment horizontal="left" vertical="center" wrapText="1"/>
    </x:xf>
    <x:xf numFmtId="0" fontId="24" fillId="71" borderId="15" xfId="0" applyAlignment="1">
      <x:alignment horizontal="left" vertical="center"/>
    </x:xf>
    <x:xf numFmtId="3" fontId="24" fillId="71" borderId="15" xfId="0" applyAlignment="1">
      <x:alignment horizontal="right" vertical="center"/>
    </x:xf>
    <x:xf numFmtId="168" fontId="24" fillId="71" borderId="15" xfId="0" applyAlignment="1">
      <x:alignment horizontal="right" vertical="center"/>
    </x:xf>
    <x:xf numFmtId="1" fontId="24" fillId="71" borderId="15" xfId="0" applyAlignment="1">
      <x:alignment horizontal="right" vertical="center"/>
    </x:xf>
    <x:xf numFmtId="164" fontId="24" fillId="71" borderId="15" xfId="0" applyAlignment="1">
      <x:alignment horizontal="right" vertical="center"/>
    </x:xf>
    <x:xf numFmtId="166" fontId="24" fillId="71" borderId="15" xfId="0" applyAlignment="1">
      <x:alignment horizontal="right" vertical="center"/>
    </x:xf>
    <x:xf numFmtId="165" fontId="24" fillId="71" borderId="15" xfId="0" applyAlignment="1">
      <x:alignment horizontal="right" vertical="center"/>
    </x:xf>
    <x:xf numFmtId="167" fontId="24" fillId="71" borderId="15" xfId="0" applyAlignment="1">
      <x:alignment horizontal="right" vertical="center"/>
    </x:xf>
    <x:xf numFmtId="164" fontId="24" fillId="71" borderId="19" xfId="0" applyAlignment="1">
      <x:alignment horizontal="right" vertical="center"/>
    </x:xf>
    <x:xf numFmtId="0" fontId="24" fillId="71" borderId="15" xfId="0" applyAlignment="1">
      <x:alignment horizontal="center" vertical="center"/>
    </x:xf>
    <x:xf numFmtId="0" fontId="24" fillId="71" borderId="15" xfId="0" applyAlignment="1">
      <x:alignment horizontal="left" vertical="center" wrapText="1"/>
    </x:xf>
    <x:xf numFmtId="0" fontId="24" fillId="71" borderId="15" xfId="0" applyAlignment="1">
      <x:alignment horizontal="right" vertical="center"/>
    </x:xf>
    <x:xf numFmtId="0" fontId="24" fillId="71" borderId="15" xfId="0" applyAlignment="1">
      <x:alignment horizontal="right" vertical="center" wrapText="1"/>
    </x:xf>
    <x:xf numFmtId="0" fontId="25" fillId="71" borderId="15" xfId="0" applyAlignment="1">
      <x:alignment horizontal="right" vertical="center" wrapText="1"/>
    </x:xf>
    <x:xf numFmtId="0" fontId="25" fillId="71" borderId="15" xfId="0" applyAlignment="1">
      <x:alignment horizontal="left" vertical="center" wrapText="1"/>
    </x:xf>
    <x:xf numFmtId="167" fontId="12" fillId="71" borderId="19" xfId="0" applyAlignment="1">
      <x:alignment horizontal="right" vertical="center"/>
    </x:xf>
    <x:xf numFmtId="167" fontId="24" fillId="71" borderId="19" xfId="0" applyAlignment="1">
      <x:alignment horizontal="right" vertical="center"/>
    </x:xf>
    <x:xf numFmtId="3" fontId="12" fillId="71" borderId="15" xfId="0" applyAlignment="1">
      <x:alignment horizontal="right" vertical="center"/>
    </x:xf>
    <x:xf numFmtId="0" fontId="11" fillId="72" borderId="15" xfId="0" applyAlignment="1">
      <x:alignment horizontal="left" vertical="center"/>
    </x:xf>
    <x:xf numFmtId="3" fontId="11" fillId="72" borderId="15" xfId="0" applyAlignment="1">
      <x:alignment horizontal="right" vertical="center"/>
    </x:xf>
    <x:xf numFmtId="168" fontId="11" fillId="72" borderId="15" xfId="0" applyAlignment="1">
      <x:alignment horizontal="right" vertical="center"/>
    </x:xf>
    <x:xf numFmtId="1" fontId="11" fillId="72" borderId="15" xfId="0" applyAlignment="1">
      <x:alignment horizontal="right" vertical="center"/>
    </x:xf>
    <x:xf numFmtId="164" fontId="11" fillId="72" borderId="15" xfId="0" applyAlignment="1">
      <x:alignment horizontal="right" vertical="center"/>
    </x:xf>
    <x:xf numFmtId="166" fontId="11" fillId="72" borderId="15" xfId="0" applyAlignment="1">
      <x:alignment horizontal="right" vertical="center"/>
    </x:xf>
    <x:xf numFmtId="165" fontId="11" fillId="72" borderId="15" xfId="0" applyAlignment="1">
      <x:alignment horizontal="right" vertical="center"/>
    </x:xf>
    <x:xf numFmtId="167" fontId="11" fillId="72" borderId="15" xfId="0" applyAlignment="1">
      <x:alignment horizontal="right" vertical="center"/>
    </x:xf>
    <x:xf numFmtId="0" fontId="12" fillId="72" borderId="15" xfId="0" applyAlignment="1">
      <x:alignment horizontal="center" vertical="center"/>
    </x:xf>
    <x:xf numFmtId="0" fontId="11" fillId="72" borderId="15" xfId="0" applyAlignment="1">
      <x:alignment horizontal="left" vertical="center" wrapText="1"/>
    </x:xf>
    <x:xf numFmtId="0" fontId="24" fillId="72" borderId="15" xfId="0" applyAlignment="1">
      <x:alignment horizontal="left" vertical="center"/>
    </x:xf>
    <x:xf numFmtId="3" fontId="24" fillId="72" borderId="15" xfId="0" applyAlignment="1">
      <x:alignment horizontal="right" vertical="center"/>
    </x:xf>
    <x:xf numFmtId="168" fontId="24" fillId="72" borderId="15" xfId="0" applyAlignment="1">
      <x:alignment horizontal="right" vertical="center"/>
    </x:xf>
    <x:xf numFmtId="1" fontId="24" fillId="72" borderId="15" xfId="0" applyAlignment="1">
      <x:alignment horizontal="right" vertical="center"/>
    </x:xf>
    <x:xf numFmtId="164" fontId="24" fillId="72" borderId="15" xfId="0" applyAlignment="1">
      <x:alignment horizontal="right" vertical="center"/>
    </x:xf>
    <x:xf numFmtId="166" fontId="24" fillId="72" borderId="15" xfId="0" applyAlignment="1">
      <x:alignment horizontal="right" vertical="center"/>
    </x:xf>
    <x:xf numFmtId="165" fontId="24" fillId="72" borderId="15" xfId="0" applyAlignment="1">
      <x:alignment horizontal="right" vertical="center"/>
    </x:xf>
    <x:xf numFmtId="167" fontId="24" fillId="72" borderId="15" xfId="0" applyAlignment="1">
      <x:alignment horizontal="right" vertical="center"/>
    </x:xf>
    <x:xf numFmtId="0" fontId="24" fillId="72" borderId="15" xfId="0" applyAlignment="1">
      <x:alignment horizontal="center" vertical="center"/>
    </x:xf>
    <x:xf numFmtId="0" fontId="24" fillId="72" borderId="15" xfId="0" applyAlignment="1">
      <x:alignment horizontal="left" vertical="center" wrapText="1"/>
    </x:xf>
    <x:xf numFmtId="0" fontId="24" fillId="72" borderId="15" xfId="0" applyAlignment="1">
      <x:alignment horizontal="right" vertical="center"/>
    </x:xf>
    <x:xf numFmtId="0" fontId="24" fillId="72" borderId="15" xfId="0" applyAlignment="1">
      <x:alignment horizontal="right" vertical="center" wrapText="1"/>
    </x:xf>
    <x:xf numFmtId="0" fontId="25" fillId="72" borderId="15" xfId="0" applyAlignment="1">
      <x:alignment horizontal="right" vertical="center" wrapText="1"/>
    </x:xf>
    <x:xf numFmtId="0" fontId="25" fillId="72" borderId="15" xfId="0" applyAlignment="1">
      <x:alignment horizontal="left" vertical="center" wrapText="1"/>
    </x:xf>
    <x:xf numFmtId="3" fontId="12" fillId="72" borderId="15" xfId="0" applyAlignment="1">
      <x:alignment horizontal="right" vertical="center"/>
    </x:xf>
    <x:xf numFmtId="164" fontId="12" fillId="72" borderId="19" xfId="0" applyAlignment="1">
      <x:alignment horizontal="right" vertical="center"/>
    </x:xf>
    <x:xf numFmtId="164" fontId="24" fillId="72" borderId="19" xfId="0" applyAlignment="1">
      <x:alignment horizontal="right" vertical="center"/>
    </x:xf>
    <x:xf numFmtId="167" fontId="12" fillId="72" borderId="19" xfId="0" applyAlignment="1">
      <x:alignment horizontal="right" vertical="center"/>
    </x:xf>
    <x:xf numFmtId="167" fontId="24" fillId="72" borderId="19" xfId="0" applyAlignment="1">
      <x:alignment horizontal="right" vertical="center"/>
    </x:xf>
    <x:xf numFmtId="0" fontId="19" fillId="69" borderId="15" xfId="0" applyAlignment="1">
      <x:alignment horizontal="center" vertical="center"/>
    </x:xf>
    <x:xf numFmtId="0" fontId="20" fillId="69" borderId="15" xfId="0" applyAlignment="1">
      <x:alignment horizontal="center" vertical="center"/>
    </x:xf>
    <x:xf numFmtId="0" fontId="19" fillId="70" borderId="15" xfId="0" applyAlignment="1">
      <x:alignment horizontal="center" vertical="center"/>
    </x:xf>
    <x:xf numFmtId="0" fontId="20" fillId="70" borderId="15" xfId="0" applyAlignment="1">
      <x:alignment horizontal="center" vertical="center"/>
    </x:xf>
    <x:xf numFmtId="0" fontId="19" fillId="71" borderId="15" xfId="0" applyAlignment="1">
      <x:alignment horizontal="center" vertical="center"/>
    </x:xf>
    <x:xf numFmtId="0" fontId="20" fillId="71" borderId="15" xfId="0" applyAlignment="1">
      <x:alignment horizontal="center" vertical="center"/>
    </x:xf>
    <x:xf numFmtId="0" fontId="21" fillId="72" borderId="15" xfId="0" applyAlignment="1">
      <x:alignment horizontal="center" vertical="center"/>
    </x:xf>
    <x:xf numFmtId="0" fontId="19" fillId="72" borderId="15" xfId="0" applyAlignment="1">
      <x:alignment horizontal="center" vertical="center"/>
    </x:xf>
    <x:xf numFmtId="0" fontId="20" fillId="72" borderId="15" xfId="0" applyAlignment="1">
      <x:alignment horizontal="center" vertical="center"/>
    </x:xf>
    <x:xf numFmtId="0" fontId="21" fillId="69" borderId="15" xfId="0" applyAlignment="1">
      <x:alignment horizontal="center" vertical="center"/>
    </x:xf>
    <x:xf numFmtId="0" fontId="21" fillId="70" borderId="15" xfId="0" applyAlignment="1">
      <x:alignment horizontal="center" vertical="center"/>
    </x:xf>
    <x:xf numFmtId="0" fontId="21" fillId="71" borderId="15" xfId="0" applyAlignment="1">
      <x:alignment horizontal="center" vertical="center"/>
    </x:xf>
    <x:xf numFmtId="0" fontId="24" fillId="73" borderId="15" xfId="0" applyAlignment="1">
      <x:alignment horizontal="left" vertical="center"/>
    </x:xf>
    <x:xf numFmtId="3" fontId="24" fillId="73" borderId="15" xfId="0" applyAlignment="1">
      <x:alignment horizontal="right" vertical="center"/>
    </x:xf>
    <x:xf numFmtId="168" fontId="24" fillId="73" borderId="15" xfId="0" applyAlignment="1">
      <x:alignment horizontal="right" vertical="center"/>
    </x:xf>
    <x:xf numFmtId="1" fontId="24" fillId="73" borderId="15" xfId="0" applyAlignment="1">
      <x:alignment horizontal="right" vertical="center"/>
    </x:xf>
    <x:xf numFmtId="164" fontId="24" fillId="73" borderId="15" xfId="0" applyAlignment="1">
      <x:alignment horizontal="right" vertical="center"/>
    </x:xf>
    <x:xf numFmtId="166" fontId="24" fillId="73" borderId="15" xfId="0" applyAlignment="1">
      <x:alignment horizontal="right" vertical="center"/>
    </x:xf>
    <x:xf numFmtId="165" fontId="24" fillId="73" borderId="15" xfId="0" applyAlignment="1">
      <x:alignment horizontal="right" vertical="center"/>
    </x:xf>
    <x:xf numFmtId="167" fontId="24" fillId="73" borderId="15" xfId="0" applyAlignment="1">
      <x:alignment horizontal="right" vertical="center"/>
    </x:xf>
    <x:xf numFmtId="0" fontId="19" fillId="73" borderId="15" xfId="0" applyAlignment="1">
      <x:alignment horizontal="center" vertical="center"/>
    </x:xf>
    <x:xf numFmtId="0" fontId="25" fillId="73" borderId="15" xfId="0" applyAlignment="1">
      <x:alignment horizontal="left" vertical="center" wrapText="1"/>
    </x:xf>
    <x:xf numFmtId="0" fontId="11" fillId="9" borderId="15" xfId="0" applyAlignment="1">
      <x:alignment horizontal="left" vertical="center"/>
    </x:xf>
    <x:xf numFmtId="3" fontId="11" fillId="9" borderId="15" xfId="0" applyAlignment="1">
      <x:alignment horizontal="right" vertical="center"/>
    </x:xf>
    <x:xf numFmtId="168" fontId="11" fillId="9" borderId="15" xfId="0" applyAlignment="1">
      <x:alignment horizontal="right" vertical="center"/>
    </x:xf>
    <x:xf numFmtId="1" fontId="11" fillId="9" borderId="15" xfId="0" applyAlignment="1">
      <x:alignment horizontal="right" vertical="center"/>
    </x:xf>
    <x:xf numFmtId="164" fontId="11" fillId="9" borderId="15" xfId="0" applyAlignment="1">
      <x:alignment horizontal="right" vertical="center"/>
    </x:xf>
    <x:xf numFmtId="166" fontId="11" fillId="9" borderId="15" xfId="0" applyAlignment="1">
      <x:alignment horizontal="right" vertical="center"/>
    </x:xf>
    <x:xf numFmtId="165" fontId="11" fillId="9" borderId="15" xfId="0" applyAlignment="1">
      <x:alignment horizontal="right" vertical="center"/>
    </x:xf>
    <x:xf numFmtId="167" fontId="11" fillId="9" borderId="15" xfId="0" applyAlignment="1">
      <x:alignment horizontal="right" vertical="center"/>
    </x:xf>
    <x:xf numFmtId="0" fontId="12" fillId="9" borderId="15" xfId="0" applyAlignment="1">
      <x:alignment horizontal="center" vertical="center"/>
    </x:xf>
    <x:xf numFmtId="0" fontId="11" fillId="9" borderId="15" xfId="0" applyAlignment="1">
      <x:alignment horizontal="left" vertical="center" wrapText="1"/>
    </x:xf>
    <x:xf numFmtId="0" fontId="12" fillId="74" borderId="3" xfId="0" applyAlignment="1">
      <x:alignment horizontal="left" vertical="center"/>
    </x:xf>
    <x:xf numFmtId="0" fontId="2" fillId="74" borderId="3" xfId="0" applyAlignment="1">
      <x:alignment horizontal="left" vertical="center"/>
    </x:xf>
    <x:xf numFmtId="0" fontId="15" fillId="74" borderId="2" xfId="0" applyAlignment="1">
      <x:alignment horizontal="left" vertical="center"/>
    </x:xf>
    <x:xf numFmtId="0" fontId="3" fillId="74" borderId="2" xfId="0" applyAlignment="1">
      <x:alignment horizontal="left" vertical="center"/>
    </x:xf>
    <x:xf numFmtId="0" fontId="12" fillId="75" borderId="15" xfId="0" applyAlignment="1">
      <x:alignment horizontal="center" vertical="center" wrapText="1"/>
    </x:xf>
    <x:xf numFmtId="0" fontId="4" fillId="75" borderId="15" xfId="0" applyAlignment="1">
      <x:alignment horizontal="center" vertical="center" wrapText="1"/>
    </x:xf>
    <x:xf numFmtId="0" fontId="12" fillId="76" borderId="15" xfId="0" applyAlignment="1">
      <x:alignment horizontal="center" vertical="center" wrapText="1"/>
    </x:xf>
    <x:xf numFmtId="0" fontId="16" fillId="76" borderId="15" xfId="0" applyAlignment="1">
      <x:alignment horizontal="center" vertical="center" wrapText="1"/>
    </x:xf>
    <x:xf numFmtId="0" fontId="12" fillId="75" borderId="15" xfId="0" applyAlignment="1">
      <x:alignment horizontal="left" vertical="center"/>
    </x:xf>
    <x:xf numFmtId="3" fontId="12" fillId="75" borderId="15" xfId="0" applyAlignment="1">
      <x:alignment horizontal="left" vertical="center"/>
    </x:xf>
    <x:xf numFmtId="168" fontId="12" fillId="75" borderId="15" xfId="0" applyAlignment="1">
      <x:alignment horizontal="left" vertical="center"/>
    </x:xf>
    <x:xf numFmtId="1" fontId="12" fillId="75" borderId="15" xfId="0" applyAlignment="1">
      <x:alignment horizontal="left" vertical="center"/>
    </x:xf>
    <x:xf numFmtId="164" fontId="12" fillId="75" borderId="15" xfId="0" applyAlignment="1">
      <x:alignment horizontal="left" vertical="center"/>
    </x:xf>
    <x:xf numFmtId="166" fontId="12" fillId="75" borderId="15" xfId="0" applyAlignment="1">
      <x:alignment horizontal="left" vertical="center"/>
    </x:xf>
    <x:xf numFmtId="165" fontId="12" fillId="75" borderId="15" xfId="0" applyAlignment="1">
      <x:alignment horizontal="left" vertical="center"/>
    </x:xf>
    <x:xf numFmtId="167" fontId="12" fillId="75" borderId="15" xfId="0" applyAlignment="1">
      <x:alignment horizontal="left" vertical="center"/>
    </x:xf>
    <x:xf numFmtId="0" fontId="4" fillId="75" borderId="15" xfId="0" applyAlignment="1">
      <x:alignment horizontal="left" vertical="center"/>
    </x:xf>
    <x:xf numFmtId="3" fontId="4" fillId="75" borderId="15" xfId="0" applyAlignment="1">
      <x:alignment horizontal="left" vertical="center"/>
    </x:xf>
    <x:xf numFmtId="168" fontId="4" fillId="75" borderId="15" xfId="0" applyAlignment="1">
      <x:alignment horizontal="left" vertical="center"/>
    </x:xf>
    <x:xf numFmtId="1" fontId="4" fillId="75" borderId="15" xfId="0" applyAlignment="1">
      <x:alignment horizontal="left" vertical="center"/>
    </x:xf>
    <x:xf numFmtId="164" fontId="4" fillId="75" borderId="15" xfId="0" applyAlignment="1">
      <x:alignment horizontal="left" vertical="center"/>
    </x:xf>
    <x:xf numFmtId="166" fontId="4" fillId="75" borderId="15" xfId="0" applyAlignment="1">
      <x:alignment horizontal="left" vertical="center"/>
    </x:xf>
    <x:xf numFmtId="165" fontId="4" fillId="75" borderId="15" xfId="0" applyAlignment="1">
      <x:alignment horizontal="left" vertical="center"/>
    </x:xf>
    <x:xf numFmtId="167" fontId="4" fillId="75" borderId="15" xfId="0" applyAlignment="1">
      <x:alignment horizontal="left" vertical="center"/>
    </x:xf>
    <x:xf numFmtId="0" fontId="12" fillId="77" borderId="15" xfId="0" applyAlignment="1">
      <x:alignment horizontal="left" vertical="center"/>
    </x:xf>
    <x:xf numFmtId="3" fontId="12" fillId="77" borderId="15" xfId="0" applyAlignment="1">
      <x:alignment horizontal="left" vertical="center"/>
    </x:xf>
    <x:xf numFmtId="168" fontId="12" fillId="77" borderId="15" xfId="0" applyAlignment="1">
      <x:alignment horizontal="left" vertical="center"/>
    </x:xf>
    <x:xf numFmtId="1" fontId="12" fillId="77" borderId="15" xfId="0" applyAlignment="1">
      <x:alignment horizontal="left" vertical="center"/>
    </x:xf>
    <x:xf numFmtId="164" fontId="12" fillId="77" borderId="15" xfId="0" applyAlignment="1">
      <x:alignment horizontal="left" vertical="center"/>
    </x:xf>
    <x:xf numFmtId="166" fontId="12" fillId="77" borderId="15" xfId="0" applyAlignment="1">
      <x:alignment horizontal="left" vertical="center"/>
    </x:xf>
    <x:xf numFmtId="165" fontId="12" fillId="77" borderId="15" xfId="0" applyAlignment="1">
      <x:alignment horizontal="left" vertical="center"/>
    </x:xf>
    <x:xf numFmtId="167" fontId="12" fillId="77" borderId="15" xfId="0" applyAlignment="1">
      <x:alignment horizontal="left" vertical="center"/>
    </x:xf>
    <x:xf numFmtId="0" fontId="4" fillId="77" borderId="15" xfId="0" applyAlignment="1">
      <x:alignment horizontal="left" vertical="center"/>
    </x:xf>
    <x:xf numFmtId="3" fontId="4" fillId="77" borderId="15" xfId="0" applyAlignment="1">
      <x:alignment horizontal="left" vertical="center"/>
    </x:xf>
    <x:xf numFmtId="168" fontId="4" fillId="77" borderId="15" xfId="0" applyAlignment="1">
      <x:alignment horizontal="left" vertical="center"/>
    </x:xf>
    <x:xf numFmtId="1" fontId="4" fillId="77" borderId="15" xfId="0" applyAlignment="1">
      <x:alignment horizontal="left" vertical="center"/>
    </x:xf>
    <x:xf numFmtId="164" fontId="4" fillId="77" borderId="15" xfId="0" applyAlignment="1">
      <x:alignment horizontal="left" vertical="center"/>
    </x:xf>
    <x:xf numFmtId="166" fontId="4" fillId="77" borderId="15" xfId="0" applyAlignment="1">
      <x:alignment horizontal="left" vertical="center"/>
    </x:xf>
    <x:xf numFmtId="165" fontId="4" fillId="77" borderId="15" xfId="0" applyAlignment="1">
      <x:alignment horizontal="left" vertical="center"/>
    </x:xf>
    <x:xf numFmtId="167" fontId="4" fillId="77" borderId="15" xfId="0" applyAlignment="1">
      <x:alignment horizontal="left" vertical="center"/>
    </x:xf>
    <x:xf numFmtId="0" fontId="11" fillId="78" borderId="15" xfId="0" applyAlignment="1">
      <x:alignment horizontal="left" vertical="center"/>
    </x:xf>
    <x:xf numFmtId="3" fontId="11" fillId="78" borderId="15" xfId="0" applyAlignment="1">
      <x:alignment horizontal="right" vertical="center"/>
    </x:xf>
    <x:xf numFmtId="168" fontId="11" fillId="78" borderId="15" xfId="0" applyAlignment="1">
      <x:alignment horizontal="right" vertical="center"/>
    </x:xf>
    <x:xf numFmtId="1" fontId="11" fillId="78" borderId="15" xfId="0" applyAlignment="1">
      <x:alignment horizontal="right" vertical="center"/>
    </x:xf>
    <x:xf numFmtId="164" fontId="11" fillId="78" borderId="15" xfId="0" applyAlignment="1">
      <x:alignment horizontal="right" vertical="center"/>
    </x:xf>
    <x:xf numFmtId="166" fontId="11" fillId="78" borderId="15" xfId="0" applyAlignment="1">
      <x:alignment horizontal="right" vertical="center"/>
    </x:xf>
    <x:xf numFmtId="165" fontId="11" fillId="78" borderId="15" xfId="0" applyAlignment="1">
      <x:alignment horizontal="right" vertical="center"/>
    </x:xf>
    <x:xf numFmtId="167" fontId="11" fillId="78" borderId="15" xfId="0" applyAlignment="1">
      <x:alignment horizontal="right" vertical="center"/>
    </x:xf>
    <x:xf numFmtId="0" fontId="12" fillId="78" borderId="15" xfId="0" applyAlignment="1">
      <x:alignment horizontal="center" vertical="center"/>
    </x:xf>
    <x:xf numFmtId="0" fontId="11" fillId="78" borderId="15" xfId="0" applyAlignment="1">
      <x:alignment horizontal="left" vertical="center" wrapText="1"/>
    </x:xf>
    <x:xf numFmtId="0" fontId="26" fillId="78" borderId="15" xfId="0" applyAlignment="1">
      <x:alignment horizontal="left" vertical="center"/>
    </x:xf>
    <x:xf numFmtId="3" fontId="26" fillId="78" borderId="15" xfId="0" applyAlignment="1">
      <x:alignment horizontal="right" vertical="center"/>
    </x:xf>
    <x:xf numFmtId="168" fontId="26" fillId="78" borderId="15" xfId="0" applyAlignment="1">
      <x:alignment horizontal="right" vertical="center"/>
    </x:xf>
    <x:xf numFmtId="1" fontId="26" fillId="78" borderId="15" xfId="0" applyAlignment="1">
      <x:alignment horizontal="right" vertical="center"/>
    </x:xf>
    <x:xf numFmtId="164" fontId="26" fillId="78" borderId="15" xfId="0" applyAlignment="1">
      <x:alignment horizontal="right" vertical="center"/>
    </x:xf>
    <x:xf numFmtId="166" fontId="26" fillId="78" borderId="15" xfId="0" applyAlignment="1">
      <x:alignment horizontal="right" vertical="center"/>
    </x:xf>
    <x:xf numFmtId="165" fontId="26" fillId="78" borderId="15" xfId="0" applyAlignment="1">
      <x:alignment horizontal="right" vertical="center"/>
    </x:xf>
    <x:xf numFmtId="167" fontId="26" fillId="78" borderId="15" xfId="0" applyAlignment="1">
      <x:alignment horizontal="right" vertical="center"/>
    </x:xf>
    <x:xf numFmtId="0" fontId="26" fillId="78" borderId="15" xfId="0" applyAlignment="1">
      <x:alignment horizontal="center" vertical="center"/>
    </x:xf>
    <x:xf numFmtId="0" fontId="26" fillId="78" borderId="15" xfId="0" applyAlignment="1">
      <x:alignment horizontal="left" vertical="center" wrapText="1"/>
    </x:xf>
    <x:xf numFmtId="0" fontId="26" fillId="78" borderId="15" xfId="0" applyAlignment="1">
      <x:alignment horizontal="right" vertical="center"/>
    </x:xf>
    <x:xf numFmtId="0" fontId="26" fillId="78" borderId="15" xfId="0" applyAlignment="1">
      <x:alignment horizontal="right" vertical="center" wrapText="1"/>
    </x:xf>
    <x:xf numFmtId="0" fontId="27" fillId="78" borderId="15" xfId="0" applyAlignment="1">
      <x:alignment horizontal="right" vertical="center" wrapText="1"/>
    </x:xf>
    <x:xf numFmtId="0" fontId="27" fillId="78" borderId="15" xfId="0" applyAlignment="1">
      <x:alignment horizontal="left" vertical="center" wrapText="1"/>
    </x:xf>
    <x:xf numFmtId="0" fontId="11" fillId="79" borderId="15" xfId="0" applyAlignment="1">
      <x:alignment horizontal="left" vertical="center"/>
    </x:xf>
    <x:xf numFmtId="3" fontId="11" fillId="79" borderId="15" xfId="0" applyAlignment="1">
      <x:alignment horizontal="right" vertical="center"/>
    </x:xf>
    <x:xf numFmtId="168" fontId="11" fillId="79" borderId="15" xfId="0" applyAlignment="1">
      <x:alignment horizontal="right" vertical="center"/>
    </x:xf>
    <x:xf numFmtId="1" fontId="11" fillId="79" borderId="15" xfId="0" applyAlignment="1">
      <x:alignment horizontal="right" vertical="center"/>
    </x:xf>
    <x:xf numFmtId="164" fontId="11" fillId="79" borderId="15" xfId="0" applyAlignment="1">
      <x:alignment horizontal="right" vertical="center"/>
    </x:xf>
    <x:xf numFmtId="166" fontId="11" fillId="79" borderId="15" xfId="0" applyAlignment="1">
      <x:alignment horizontal="right" vertical="center"/>
    </x:xf>
    <x:xf numFmtId="165" fontId="11" fillId="79" borderId="15" xfId="0" applyAlignment="1">
      <x:alignment horizontal="right" vertical="center"/>
    </x:xf>
    <x:xf numFmtId="167" fontId="11" fillId="79" borderId="15" xfId="0" applyAlignment="1">
      <x:alignment horizontal="right" vertical="center"/>
    </x:xf>
    <x:xf numFmtId="0" fontId="12" fillId="79" borderId="15" xfId="0" applyAlignment="1">
      <x:alignment horizontal="center" vertical="center"/>
    </x:xf>
    <x:xf numFmtId="0" fontId="11" fillId="79" borderId="15" xfId="0" applyAlignment="1">
      <x:alignment horizontal="left" vertical="center" wrapText="1"/>
    </x:xf>
    <x:xf numFmtId="0" fontId="26" fillId="79" borderId="15" xfId="0" applyAlignment="1">
      <x:alignment horizontal="left" vertical="center"/>
    </x:xf>
    <x:xf numFmtId="3" fontId="26" fillId="79" borderId="15" xfId="0" applyAlignment="1">
      <x:alignment horizontal="right" vertical="center"/>
    </x:xf>
    <x:xf numFmtId="168" fontId="26" fillId="79" borderId="15" xfId="0" applyAlignment="1">
      <x:alignment horizontal="right" vertical="center"/>
    </x:xf>
    <x:xf numFmtId="1" fontId="26" fillId="79" borderId="15" xfId="0" applyAlignment="1">
      <x:alignment horizontal="right" vertical="center"/>
    </x:xf>
    <x:xf numFmtId="164" fontId="26" fillId="79" borderId="15" xfId="0" applyAlignment="1">
      <x:alignment horizontal="right" vertical="center"/>
    </x:xf>
    <x:xf numFmtId="166" fontId="26" fillId="79" borderId="15" xfId="0" applyAlignment="1">
      <x:alignment horizontal="right" vertical="center"/>
    </x:xf>
    <x:xf numFmtId="165" fontId="26" fillId="79" borderId="15" xfId="0" applyAlignment="1">
      <x:alignment horizontal="right" vertical="center"/>
    </x:xf>
    <x:xf numFmtId="167" fontId="26" fillId="79" borderId="15" xfId="0" applyAlignment="1">
      <x:alignment horizontal="right" vertical="center"/>
    </x:xf>
    <x:xf numFmtId="0" fontId="26" fillId="79" borderId="15" xfId="0" applyAlignment="1">
      <x:alignment horizontal="center" vertical="center"/>
    </x:xf>
    <x:xf numFmtId="0" fontId="26" fillId="79" borderId="15" xfId="0" applyAlignment="1">
      <x:alignment horizontal="left" vertical="center" wrapText="1"/>
    </x:xf>
    <x:xf numFmtId="0" fontId="26" fillId="79" borderId="15" xfId="0" applyAlignment="1">
      <x:alignment horizontal="right" vertical="center"/>
    </x:xf>
    <x:xf numFmtId="0" fontId="26" fillId="79" borderId="15" xfId="0" applyAlignment="1">
      <x:alignment horizontal="right" vertical="center" wrapText="1"/>
    </x:xf>
    <x:xf numFmtId="0" fontId="27" fillId="79" borderId="15" xfId="0" applyAlignment="1">
      <x:alignment horizontal="right" vertical="center" wrapText="1"/>
    </x:xf>
    <x:xf numFmtId="0" fontId="27" fillId="79" borderId="15" xfId="0" applyAlignment="1">
      <x:alignment horizontal="left" vertical="center" wrapText="1"/>
    </x:xf>
    <x:xf numFmtId="0" fontId="11" fillId="80" borderId="15" xfId="0" applyAlignment="1">
      <x:alignment horizontal="left" vertical="center"/>
    </x:xf>
    <x:xf numFmtId="3" fontId="11" fillId="80" borderId="15" xfId="0" applyAlignment="1">
      <x:alignment horizontal="right" vertical="center"/>
    </x:xf>
    <x:xf numFmtId="168" fontId="11" fillId="80" borderId="15" xfId="0" applyAlignment="1">
      <x:alignment horizontal="right" vertical="center"/>
    </x:xf>
    <x:xf numFmtId="1" fontId="11" fillId="80" borderId="15" xfId="0" applyAlignment="1">
      <x:alignment horizontal="right" vertical="center"/>
    </x:xf>
    <x:xf numFmtId="164" fontId="11" fillId="80" borderId="15" xfId="0" applyAlignment="1">
      <x:alignment horizontal="right" vertical="center"/>
    </x:xf>
    <x:xf numFmtId="166" fontId="11" fillId="80" borderId="15" xfId="0" applyAlignment="1">
      <x:alignment horizontal="right" vertical="center"/>
    </x:xf>
    <x:xf numFmtId="165" fontId="11" fillId="80" borderId="15" xfId="0" applyAlignment="1">
      <x:alignment horizontal="right" vertical="center"/>
    </x:xf>
    <x:xf numFmtId="167" fontId="11" fillId="80" borderId="15" xfId="0" applyAlignment="1">
      <x:alignment horizontal="right" vertical="center"/>
    </x:xf>
    <x:xf numFmtId="0" fontId="12" fillId="80" borderId="15" xfId="0" applyAlignment="1">
      <x:alignment horizontal="center" vertical="center"/>
    </x:xf>
    <x:xf numFmtId="0" fontId="11" fillId="80" borderId="15" xfId="0" applyAlignment="1">
      <x:alignment horizontal="left" vertical="center" wrapText="1"/>
    </x:xf>
    <x:xf numFmtId="0" fontId="26" fillId="80" borderId="15" xfId="0" applyAlignment="1">
      <x:alignment horizontal="left" vertical="center"/>
    </x:xf>
    <x:xf numFmtId="3" fontId="26" fillId="80" borderId="15" xfId="0" applyAlignment="1">
      <x:alignment horizontal="right" vertical="center"/>
    </x:xf>
    <x:xf numFmtId="168" fontId="26" fillId="80" borderId="15" xfId="0" applyAlignment="1">
      <x:alignment horizontal="right" vertical="center"/>
    </x:xf>
    <x:xf numFmtId="1" fontId="26" fillId="80" borderId="15" xfId="0" applyAlignment="1">
      <x:alignment horizontal="right" vertical="center"/>
    </x:xf>
    <x:xf numFmtId="164" fontId="26" fillId="80" borderId="15" xfId="0" applyAlignment="1">
      <x:alignment horizontal="right" vertical="center"/>
    </x:xf>
    <x:xf numFmtId="166" fontId="26" fillId="80" borderId="15" xfId="0" applyAlignment="1">
      <x:alignment horizontal="right" vertical="center"/>
    </x:xf>
    <x:xf numFmtId="165" fontId="26" fillId="80" borderId="15" xfId="0" applyAlignment="1">
      <x:alignment horizontal="right" vertical="center"/>
    </x:xf>
    <x:xf numFmtId="167" fontId="26" fillId="80" borderId="15" xfId="0" applyAlignment="1">
      <x:alignment horizontal="right" vertical="center"/>
    </x:xf>
    <x:xf numFmtId="0" fontId="26" fillId="80" borderId="15" xfId="0" applyAlignment="1">
      <x:alignment horizontal="center" vertical="center"/>
    </x:xf>
    <x:xf numFmtId="0" fontId="26" fillId="80" borderId="15" xfId="0" applyAlignment="1">
      <x:alignment horizontal="left" vertical="center" wrapText="1"/>
    </x:xf>
    <x:xf numFmtId="0" fontId="26" fillId="80" borderId="15" xfId="0" applyAlignment="1">
      <x:alignment horizontal="right" vertical="center"/>
    </x:xf>
    <x:xf numFmtId="0" fontId="26" fillId="80" borderId="15" xfId="0" applyAlignment="1">
      <x:alignment horizontal="right" vertical="center" wrapText="1"/>
    </x:xf>
    <x:xf numFmtId="0" fontId="27" fillId="80" borderId="15" xfId="0" applyAlignment="1">
      <x:alignment horizontal="right" vertical="center" wrapText="1"/>
    </x:xf>
    <x:xf numFmtId="0" fontId="27" fillId="80" borderId="15" xfId="0" applyAlignment="1">
      <x:alignment horizontal="left" vertical="center" wrapText="1"/>
    </x:xf>
    <x:xf numFmtId="0" fontId="11" fillId="81" borderId="15" xfId="0" applyAlignment="1">
      <x:alignment horizontal="left" vertical="center"/>
    </x:xf>
    <x:xf numFmtId="3" fontId="11" fillId="81" borderId="15" xfId="0" applyAlignment="1">
      <x:alignment horizontal="right" vertical="center"/>
    </x:xf>
    <x:xf numFmtId="168" fontId="11" fillId="81" borderId="15" xfId="0" applyAlignment="1">
      <x:alignment horizontal="right" vertical="center"/>
    </x:xf>
    <x:xf numFmtId="1" fontId="11" fillId="81" borderId="15" xfId="0" applyAlignment="1">
      <x:alignment horizontal="right" vertical="center"/>
    </x:xf>
    <x:xf numFmtId="164" fontId="11" fillId="81" borderId="15" xfId="0" applyAlignment="1">
      <x:alignment horizontal="right" vertical="center"/>
    </x:xf>
    <x:xf numFmtId="166" fontId="11" fillId="81" borderId="15" xfId="0" applyAlignment="1">
      <x:alignment horizontal="right" vertical="center"/>
    </x:xf>
    <x:xf numFmtId="165" fontId="11" fillId="81" borderId="15" xfId="0" applyAlignment="1">
      <x:alignment horizontal="right" vertical="center"/>
    </x:xf>
    <x:xf numFmtId="167" fontId="11" fillId="81" borderId="15" xfId="0" applyAlignment="1">
      <x:alignment horizontal="right" vertical="center"/>
    </x:xf>
    <x:xf numFmtId="0" fontId="12" fillId="81" borderId="15" xfId="0" applyAlignment="1">
      <x:alignment horizontal="center" vertical="center"/>
    </x:xf>
    <x:xf numFmtId="0" fontId="11" fillId="81" borderId="15" xfId="0" applyAlignment="1">
      <x:alignment horizontal="left" vertical="center" wrapText="1"/>
    </x:xf>
    <x:xf numFmtId="0" fontId="26" fillId="81" borderId="15" xfId="0" applyAlignment="1">
      <x:alignment horizontal="left" vertical="center"/>
    </x:xf>
    <x:xf numFmtId="3" fontId="26" fillId="81" borderId="15" xfId="0" applyAlignment="1">
      <x:alignment horizontal="right" vertical="center"/>
    </x:xf>
    <x:xf numFmtId="168" fontId="26" fillId="81" borderId="15" xfId="0" applyAlignment="1">
      <x:alignment horizontal="right" vertical="center"/>
    </x:xf>
    <x:xf numFmtId="1" fontId="26" fillId="81" borderId="15" xfId="0" applyAlignment="1">
      <x:alignment horizontal="right" vertical="center"/>
    </x:xf>
    <x:xf numFmtId="164" fontId="26" fillId="81" borderId="15" xfId="0" applyAlignment="1">
      <x:alignment horizontal="right" vertical="center"/>
    </x:xf>
    <x:xf numFmtId="166" fontId="26" fillId="81" borderId="15" xfId="0" applyAlignment="1">
      <x:alignment horizontal="right" vertical="center"/>
    </x:xf>
    <x:xf numFmtId="165" fontId="26" fillId="81" borderId="15" xfId="0" applyAlignment="1">
      <x:alignment horizontal="right" vertical="center"/>
    </x:xf>
    <x:xf numFmtId="167" fontId="26" fillId="81" borderId="15" xfId="0" applyAlignment="1">
      <x:alignment horizontal="right" vertical="center"/>
    </x:xf>
    <x:xf numFmtId="0" fontId="26" fillId="81" borderId="15" xfId="0" applyAlignment="1">
      <x:alignment horizontal="center" vertical="center"/>
    </x:xf>
    <x:xf numFmtId="0" fontId="26" fillId="81" borderId="15" xfId="0" applyAlignment="1">
      <x:alignment horizontal="left" vertical="center" wrapText="1"/>
    </x:xf>
    <x:xf numFmtId="0" fontId="26" fillId="81" borderId="15" xfId="0" applyAlignment="1">
      <x:alignment horizontal="right" vertical="center"/>
    </x:xf>
    <x:xf numFmtId="0" fontId="26" fillId="81" borderId="15" xfId="0" applyAlignment="1">
      <x:alignment horizontal="right" vertical="center" wrapText="1"/>
    </x:xf>
    <x:xf numFmtId="0" fontId="27" fillId="81" borderId="15" xfId="0" applyAlignment="1">
      <x:alignment horizontal="right" vertical="center" wrapText="1"/>
    </x:xf>
    <x:xf numFmtId="0" fontId="27" fillId="81" borderId="15" xfId="0" applyAlignment="1">
      <x:alignment horizontal="left" vertical="center" wrapText="1"/>
    </x:xf>
    <x:xf numFmtId="0" fontId="19" fillId="78" borderId="15" xfId="0" applyAlignment="1">
      <x:alignment horizontal="center" vertical="center"/>
    </x:xf>
    <x:xf numFmtId="0" fontId="20" fillId="78" borderId="15" xfId="0" applyAlignment="1">
      <x:alignment horizontal="center" vertical="center"/>
    </x:xf>
    <x:xf numFmtId="0" fontId="19" fillId="79" borderId="15" xfId="0" applyAlignment="1">
      <x:alignment horizontal="center" vertical="center"/>
    </x:xf>
    <x:xf numFmtId="0" fontId="20" fillId="79" borderId="15" xfId="0" applyAlignment="1">
      <x:alignment horizontal="center" vertical="center"/>
    </x:xf>
    <x:xf numFmtId="0" fontId="19" fillId="80" borderId="15" xfId="0" applyAlignment="1">
      <x:alignment horizontal="center" vertical="center"/>
    </x:xf>
    <x:xf numFmtId="0" fontId="20" fillId="80" borderId="15" xfId="0" applyAlignment="1">
      <x:alignment horizontal="center" vertical="center"/>
    </x:xf>
    <x:xf numFmtId="0" fontId="21" fillId="81" borderId="15" xfId="0" applyAlignment="1">
      <x:alignment horizontal="center" vertical="center"/>
    </x:xf>
    <x:xf numFmtId="0" fontId="19" fillId="81" borderId="15" xfId="0" applyAlignment="1">
      <x:alignment horizontal="center" vertical="center"/>
    </x:xf>
    <x:xf numFmtId="0" fontId="20" fillId="81" borderId="15" xfId="0" applyAlignment="1">
      <x:alignment horizontal="center" vertical="center"/>
    </x:xf>
    <x:xf numFmtId="0" fontId="21" fillId="78" borderId="15" xfId="0" applyAlignment="1">
      <x:alignment horizontal="center" vertical="center"/>
    </x:xf>
    <x:xf numFmtId="0" fontId="21" fillId="79" borderId="15" xfId="0" applyAlignment="1">
      <x:alignment horizontal="center" vertical="center"/>
    </x:xf>
    <x:xf numFmtId="0" fontId="21" fillId="80" borderId="15" xfId="0" applyAlignment="1">
      <x:alignment horizontal="center" vertical="center"/>
    </x:xf>
    <x:xf numFmtId="0" fontId="26" fillId="82" borderId="15" xfId="0" applyAlignment="1">
      <x:alignment horizontal="left" vertical="center"/>
    </x:xf>
    <x:xf numFmtId="3" fontId="26" fillId="82" borderId="15" xfId="0" applyAlignment="1">
      <x:alignment horizontal="right" vertical="center"/>
    </x:xf>
    <x:xf numFmtId="168" fontId="26" fillId="82" borderId="15" xfId="0" applyAlignment="1">
      <x:alignment horizontal="right" vertical="center"/>
    </x:xf>
    <x:xf numFmtId="1" fontId="26" fillId="82" borderId="15" xfId="0" applyAlignment="1">
      <x:alignment horizontal="right" vertical="center"/>
    </x:xf>
    <x:xf numFmtId="164" fontId="26" fillId="82" borderId="15" xfId="0" applyAlignment="1">
      <x:alignment horizontal="right" vertical="center"/>
    </x:xf>
    <x:xf numFmtId="166" fontId="26" fillId="82" borderId="15" xfId="0" applyAlignment="1">
      <x:alignment horizontal="right" vertical="center"/>
    </x:xf>
    <x:xf numFmtId="165" fontId="26" fillId="82" borderId="15" xfId="0" applyAlignment="1">
      <x:alignment horizontal="right" vertical="center"/>
    </x:xf>
    <x:xf numFmtId="167" fontId="26" fillId="82" borderId="15" xfId="0" applyAlignment="1">
      <x:alignment horizontal="right" vertical="center"/>
    </x:xf>
    <x:xf numFmtId="0" fontId="19" fillId="82" borderId="15" xfId="0" applyAlignment="1">
      <x:alignment horizontal="center" vertical="center"/>
    </x:xf>
    <x:xf numFmtId="0" fontId="27" fillId="82" borderId="15" xfId="0" applyAlignment="1">
      <x:alignment horizontal="left" vertical="center" wrapText="1"/>
    </x:xf>
    <x:xf numFmtId="0" fontId="12" fillId="83" borderId="3" xfId="0" applyAlignment="1">
      <x:alignment horizontal="left" vertical="center"/>
    </x:xf>
    <x:xf numFmtId="0" fontId="2" fillId="83" borderId="3" xfId="0" applyAlignment="1">
      <x:alignment horizontal="left" vertical="center"/>
    </x:xf>
    <x:xf numFmtId="0" fontId="15" fillId="83" borderId="2" xfId="0" applyAlignment="1">
      <x:alignment horizontal="left" vertical="center"/>
    </x:xf>
    <x:xf numFmtId="0" fontId="3" fillId="83" borderId="2" xfId="0" applyAlignment="1">
      <x:alignment horizontal="left" vertical="center"/>
    </x:xf>
    <x:xf numFmtId="0" fontId="12" fillId="84" borderId="15" xfId="0" applyAlignment="1">
      <x:alignment horizontal="center" vertical="center" wrapText="1"/>
    </x:xf>
    <x:xf numFmtId="0" fontId="4" fillId="84" borderId="15" xfId="0" applyAlignment="1">
      <x:alignment horizontal="center" vertical="center" wrapText="1"/>
    </x:xf>
    <x:xf numFmtId="0" fontId="12" fillId="85" borderId="15" xfId="0" applyAlignment="1">
      <x:alignment horizontal="center" vertical="center" wrapText="1"/>
    </x:xf>
    <x:xf numFmtId="0" fontId="16" fillId="85" borderId="15" xfId="0" applyAlignment="1">
      <x:alignment horizontal="center" vertical="center" wrapText="1"/>
    </x:xf>
    <x:xf numFmtId="0" fontId="12" fillId="84" borderId="15" xfId="0" applyAlignment="1">
      <x:alignment horizontal="left" vertical="center"/>
    </x:xf>
    <x:xf numFmtId="3" fontId="12" fillId="84" borderId="15" xfId="0" applyAlignment="1">
      <x:alignment horizontal="left" vertical="center"/>
    </x:xf>
    <x:xf numFmtId="168" fontId="12" fillId="84" borderId="15" xfId="0" applyAlignment="1">
      <x:alignment horizontal="left" vertical="center"/>
    </x:xf>
    <x:xf numFmtId="1" fontId="12" fillId="84" borderId="15" xfId="0" applyAlignment="1">
      <x:alignment horizontal="left" vertical="center"/>
    </x:xf>
    <x:xf numFmtId="164" fontId="12" fillId="84" borderId="15" xfId="0" applyAlignment="1">
      <x:alignment horizontal="left" vertical="center"/>
    </x:xf>
    <x:xf numFmtId="166" fontId="12" fillId="84" borderId="15" xfId="0" applyAlignment="1">
      <x:alignment horizontal="left" vertical="center"/>
    </x:xf>
    <x:xf numFmtId="165" fontId="12" fillId="84" borderId="15" xfId="0" applyAlignment="1">
      <x:alignment horizontal="left" vertical="center"/>
    </x:xf>
    <x:xf numFmtId="167" fontId="12" fillId="84" borderId="15" xfId="0" applyAlignment="1">
      <x:alignment horizontal="left" vertical="center"/>
    </x:xf>
    <x:xf numFmtId="0" fontId="4" fillId="84" borderId="15" xfId="0" applyAlignment="1">
      <x:alignment horizontal="left" vertical="center"/>
    </x:xf>
    <x:xf numFmtId="3" fontId="4" fillId="84" borderId="15" xfId="0" applyAlignment="1">
      <x:alignment horizontal="left" vertical="center"/>
    </x:xf>
    <x:xf numFmtId="168" fontId="4" fillId="84" borderId="15" xfId="0" applyAlignment="1">
      <x:alignment horizontal="left" vertical="center"/>
    </x:xf>
    <x:xf numFmtId="1" fontId="4" fillId="84" borderId="15" xfId="0" applyAlignment="1">
      <x:alignment horizontal="left" vertical="center"/>
    </x:xf>
    <x:xf numFmtId="164" fontId="4" fillId="84" borderId="15" xfId="0" applyAlignment="1">
      <x:alignment horizontal="left" vertical="center"/>
    </x:xf>
    <x:xf numFmtId="166" fontId="4" fillId="84" borderId="15" xfId="0" applyAlignment="1">
      <x:alignment horizontal="left" vertical="center"/>
    </x:xf>
    <x:xf numFmtId="165" fontId="4" fillId="84" borderId="15" xfId="0" applyAlignment="1">
      <x:alignment horizontal="left" vertical="center"/>
    </x:xf>
    <x:xf numFmtId="167" fontId="4" fillId="84" borderId="15" xfId="0" applyAlignment="1">
      <x:alignment horizontal="left" vertical="center"/>
    </x:xf>
    <x:xf numFmtId="0" fontId="12" fillId="86" borderId="15" xfId="0" applyAlignment="1">
      <x:alignment horizontal="left" vertical="center"/>
    </x:xf>
    <x:xf numFmtId="3" fontId="12" fillId="86" borderId="15" xfId="0" applyAlignment="1">
      <x:alignment horizontal="left" vertical="center"/>
    </x:xf>
    <x:xf numFmtId="168" fontId="12" fillId="86" borderId="15" xfId="0" applyAlignment="1">
      <x:alignment horizontal="left" vertical="center"/>
    </x:xf>
    <x:xf numFmtId="1" fontId="12" fillId="86" borderId="15" xfId="0" applyAlignment="1">
      <x:alignment horizontal="left" vertical="center"/>
    </x:xf>
    <x:xf numFmtId="164" fontId="12" fillId="86" borderId="15" xfId="0" applyAlignment="1">
      <x:alignment horizontal="left" vertical="center"/>
    </x:xf>
    <x:xf numFmtId="166" fontId="12" fillId="86" borderId="15" xfId="0" applyAlignment="1">
      <x:alignment horizontal="left" vertical="center"/>
    </x:xf>
    <x:xf numFmtId="165" fontId="12" fillId="86" borderId="15" xfId="0" applyAlignment="1">
      <x:alignment horizontal="left" vertical="center"/>
    </x:xf>
    <x:xf numFmtId="167" fontId="12" fillId="86" borderId="15" xfId="0" applyAlignment="1">
      <x:alignment horizontal="left" vertical="center"/>
    </x:xf>
    <x:xf numFmtId="0" fontId="4" fillId="86" borderId="15" xfId="0" applyAlignment="1">
      <x:alignment horizontal="left" vertical="center"/>
    </x:xf>
    <x:xf numFmtId="3" fontId="4" fillId="86" borderId="15" xfId="0" applyAlignment="1">
      <x:alignment horizontal="left" vertical="center"/>
    </x:xf>
    <x:xf numFmtId="168" fontId="4" fillId="86" borderId="15" xfId="0" applyAlignment="1">
      <x:alignment horizontal="left" vertical="center"/>
    </x:xf>
    <x:xf numFmtId="1" fontId="4" fillId="86" borderId="15" xfId="0" applyAlignment="1">
      <x:alignment horizontal="left" vertical="center"/>
    </x:xf>
    <x:xf numFmtId="164" fontId="4" fillId="86" borderId="15" xfId="0" applyAlignment="1">
      <x:alignment horizontal="left" vertical="center"/>
    </x:xf>
    <x:xf numFmtId="166" fontId="4" fillId="86" borderId="15" xfId="0" applyAlignment="1">
      <x:alignment horizontal="left" vertical="center"/>
    </x:xf>
    <x:xf numFmtId="165" fontId="4" fillId="86" borderId="15" xfId="0" applyAlignment="1">
      <x:alignment horizontal="left" vertical="center"/>
    </x:xf>
    <x:xf numFmtId="167" fontId="4" fillId="86" borderId="15" xfId="0" applyAlignment="1">
      <x:alignment horizontal="left" vertical="center"/>
    </x:xf>
    <x:xf numFmtId="0" fontId="11" fillId="87" borderId="15" xfId="0" applyAlignment="1">
      <x:alignment horizontal="left" vertical="center"/>
    </x:xf>
    <x:xf numFmtId="3" fontId="11" fillId="87" borderId="15" xfId="0" applyAlignment="1">
      <x:alignment horizontal="right" vertical="center"/>
    </x:xf>
    <x:xf numFmtId="168" fontId="11" fillId="87" borderId="15" xfId="0" applyAlignment="1">
      <x:alignment horizontal="right" vertical="center"/>
    </x:xf>
    <x:xf numFmtId="1" fontId="11" fillId="87" borderId="15" xfId="0" applyAlignment="1">
      <x:alignment horizontal="right" vertical="center"/>
    </x:xf>
    <x:xf numFmtId="164" fontId="11" fillId="87" borderId="15" xfId="0" applyAlignment="1">
      <x:alignment horizontal="right" vertical="center"/>
    </x:xf>
    <x:xf numFmtId="166" fontId="11" fillId="87" borderId="15" xfId="0" applyAlignment="1">
      <x:alignment horizontal="right" vertical="center"/>
    </x:xf>
    <x:xf numFmtId="165" fontId="11" fillId="87" borderId="15" xfId="0" applyAlignment="1">
      <x:alignment horizontal="right" vertical="center"/>
    </x:xf>
    <x:xf numFmtId="167" fontId="11" fillId="87" borderId="15" xfId="0" applyAlignment="1">
      <x:alignment horizontal="right" vertical="center"/>
    </x:xf>
    <x:xf numFmtId="0" fontId="12" fillId="87" borderId="15" xfId="0" applyAlignment="1">
      <x:alignment horizontal="center" vertical="center"/>
    </x:xf>
    <x:xf numFmtId="0" fontId="11" fillId="87" borderId="15" xfId="0" applyAlignment="1">
      <x:alignment horizontal="left" vertical="center" wrapText="1"/>
    </x:xf>
    <x:xf numFmtId="0" fontId="28" fillId="87" borderId="15" xfId="0" applyAlignment="1">
      <x:alignment horizontal="left" vertical="center"/>
    </x:xf>
    <x:xf numFmtId="3" fontId="28" fillId="87" borderId="15" xfId="0" applyAlignment="1">
      <x:alignment horizontal="right" vertical="center"/>
    </x:xf>
    <x:xf numFmtId="168" fontId="28" fillId="87" borderId="15" xfId="0" applyAlignment="1">
      <x:alignment horizontal="right" vertical="center"/>
    </x:xf>
    <x:xf numFmtId="1" fontId="28" fillId="87" borderId="15" xfId="0" applyAlignment="1">
      <x:alignment horizontal="right" vertical="center"/>
    </x:xf>
    <x:xf numFmtId="164" fontId="28" fillId="87" borderId="15" xfId="0" applyAlignment="1">
      <x:alignment horizontal="right" vertical="center"/>
    </x:xf>
    <x:xf numFmtId="166" fontId="28" fillId="87" borderId="15" xfId="0" applyAlignment="1">
      <x:alignment horizontal="right" vertical="center"/>
    </x:xf>
    <x:xf numFmtId="165" fontId="28" fillId="87" borderId="15" xfId="0" applyAlignment="1">
      <x:alignment horizontal="right" vertical="center"/>
    </x:xf>
    <x:xf numFmtId="167" fontId="28" fillId="87" borderId="15" xfId="0" applyAlignment="1">
      <x:alignment horizontal="right" vertical="center"/>
    </x:xf>
    <x:xf numFmtId="0" fontId="28" fillId="87" borderId="15" xfId="0" applyAlignment="1">
      <x:alignment horizontal="center" vertical="center"/>
    </x:xf>
    <x:xf numFmtId="0" fontId="28" fillId="87" borderId="15" xfId="0" applyAlignment="1">
      <x:alignment horizontal="left" vertical="center" wrapText="1"/>
    </x:xf>
    <x:xf numFmtId="0" fontId="28" fillId="87" borderId="15" xfId="0" applyAlignment="1">
      <x:alignment horizontal="right" vertical="center"/>
    </x:xf>
    <x:xf numFmtId="0" fontId="28" fillId="87" borderId="15" xfId="0" applyAlignment="1">
      <x:alignment horizontal="right" vertical="center" wrapText="1"/>
    </x:xf>
    <x:xf numFmtId="0" fontId="29" fillId="87" borderId="15" xfId="0" applyAlignment="1">
      <x:alignment horizontal="right" vertical="center" wrapText="1"/>
    </x:xf>
    <x:xf numFmtId="0" fontId="29" fillId="87" borderId="15" xfId="0" applyAlignment="1">
      <x:alignment horizontal="left" vertical="center" wrapText="1"/>
    </x:xf>
    <x:xf numFmtId="0" fontId="11" fillId="88" borderId="15" xfId="0" applyAlignment="1">
      <x:alignment horizontal="left" vertical="center"/>
    </x:xf>
    <x:xf numFmtId="3" fontId="11" fillId="88" borderId="15" xfId="0" applyAlignment="1">
      <x:alignment horizontal="right" vertical="center"/>
    </x:xf>
    <x:xf numFmtId="168" fontId="11" fillId="88" borderId="15" xfId="0" applyAlignment="1">
      <x:alignment horizontal="right" vertical="center"/>
    </x:xf>
    <x:xf numFmtId="1" fontId="11" fillId="88" borderId="15" xfId="0" applyAlignment="1">
      <x:alignment horizontal="right" vertical="center"/>
    </x:xf>
    <x:xf numFmtId="164" fontId="11" fillId="88" borderId="15" xfId="0" applyAlignment="1">
      <x:alignment horizontal="right" vertical="center"/>
    </x:xf>
    <x:xf numFmtId="166" fontId="11" fillId="88" borderId="15" xfId="0" applyAlignment="1">
      <x:alignment horizontal="right" vertical="center"/>
    </x:xf>
    <x:xf numFmtId="165" fontId="11" fillId="88" borderId="15" xfId="0" applyAlignment="1">
      <x:alignment horizontal="right" vertical="center"/>
    </x:xf>
    <x:xf numFmtId="167" fontId="11" fillId="88" borderId="15" xfId="0" applyAlignment="1">
      <x:alignment horizontal="right" vertical="center"/>
    </x:xf>
    <x:xf numFmtId="0" fontId="12" fillId="88" borderId="15" xfId="0" applyAlignment="1">
      <x:alignment horizontal="center" vertical="center"/>
    </x:xf>
    <x:xf numFmtId="0" fontId="11" fillId="88" borderId="15" xfId="0" applyAlignment="1">
      <x:alignment horizontal="left" vertical="center" wrapText="1"/>
    </x:xf>
    <x:xf numFmtId="0" fontId="28" fillId="88" borderId="15" xfId="0" applyAlignment="1">
      <x:alignment horizontal="left" vertical="center"/>
    </x:xf>
    <x:xf numFmtId="3" fontId="28" fillId="88" borderId="15" xfId="0" applyAlignment="1">
      <x:alignment horizontal="right" vertical="center"/>
    </x:xf>
    <x:xf numFmtId="168" fontId="28" fillId="88" borderId="15" xfId="0" applyAlignment="1">
      <x:alignment horizontal="right" vertical="center"/>
    </x:xf>
    <x:xf numFmtId="1" fontId="28" fillId="88" borderId="15" xfId="0" applyAlignment="1">
      <x:alignment horizontal="right" vertical="center"/>
    </x:xf>
    <x:xf numFmtId="164" fontId="28" fillId="88" borderId="15" xfId="0" applyAlignment="1">
      <x:alignment horizontal="right" vertical="center"/>
    </x:xf>
    <x:xf numFmtId="166" fontId="28" fillId="88" borderId="15" xfId="0" applyAlignment="1">
      <x:alignment horizontal="right" vertical="center"/>
    </x:xf>
    <x:xf numFmtId="165" fontId="28" fillId="88" borderId="15" xfId="0" applyAlignment="1">
      <x:alignment horizontal="right" vertical="center"/>
    </x:xf>
    <x:xf numFmtId="167" fontId="28" fillId="88" borderId="15" xfId="0" applyAlignment="1">
      <x:alignment horizontal="right" vertical="center"/>
    </x:xf>
    <x:xf numFmtId="0" fontId="28" fillId="88" borderId="15" xfId="0" applyAlignment="1">
      <x:alignment horizontal="center" vertical="center"/>
    </x:xf>
    <x:xf numFmtId="0" fontId="28" fillId="88" borderId="15" xfId="0" applyAlignment="1">
      <x:alignment horizontal="left" vertical="center" wrapText="1"/>
    </x:xf>
    <x:xf numFmtId="0" fontId="28" fillId="88" borderId="15" xfId="0" applyAlignment="1">
      <x:alignment horizontal="right" vertical="center"/>
    </x:xf>
    <x:xf numFmtId="0" fontId="28" fillId="88" borderId="15" xfId="0" applyAlignment="1">
      <x:alignment horizontal="right" vertical="center" wrapText="1"/>
    </x:xf>
    <x:xf numFmtId="0" fontId="29" fillId="88" borderId="15" xfId="0" applyAlignment="1">
      <x:alignment horizontal="right" vertical="center" wrapText="1"/>
    </x:xf>
    <x:xf numFmtId="0" fontId="29" fillId="88" borderId="15" xfId="0" applyAlignment="1">
      <x:alignment horizontal="left" vertical="center" wrapText="1"/>
    </x:xf>
    <x:xf numFmtId="0" fontId="11" fillId="89" borderId="15" xfId="0" applyAlignment="1">
      <x:alignment horizontal="left" vertical="center"/>
    </x:xf>
    <x:xf numFmtId="3" fontId="11" fillId="89" borderId="15" xfId="0" applyAlignment="1">
      <x:alignment horizontal="right" vertical="center"/>
    </x:xf>
    <x:xf numFmtId="168" fontId="11" fillId="89" borderId="15" xfId="0" applyAlignment="1">
      <x:alignment horizontal="right" vertical="center"/>
    </x:xf>
    <x:xf numFmtId="1" fontId="11" fillId="89" borderId="15" xfId="0" applyAlignment="1">
      <x:alignment horizontal="right" vertical="center"/>
    </x:xf>
    <x:xf numFmtId="164" fontId="11" fillId="89" borderId="15" xfId="0" applyAlignment="1">
      <x:alignment horizontal="right" vertical="center"/>
    </x:xf>
    <x:xf numFmtId="166" fontId="11" fillId="89" borderId="15" xfId="0" applyAlignment="1">
      <x:alignment horizontal="right" vertical="center"/>
    </x:xf>
    <x:xf numFmtId="165" fontId="11" fillId="89" borderId="15" xfId="0" applyAlignment="1">
      <x:alignment horizontal="right" vertical="center"/>
    </x:xf>
    <x:xf numFmtId="167" fontId="11" fillId="89" borderId="15" xfId="0" applyAlignment="1">
      <x:alignment horizontal="right" vertical="center"/>
    </x:xf>
    <x:xf numFmtId="0" fontId="12" fillId="89" borderId="15" xfId="0" applyAlignment="1">
      <x:alignment horizontal="center" vertical="center"/>
    </x:xf>
    <x:xf numFmtId="0" fontId="11" fillId="89" borderId="15" xfId="0" applyAlignment="1">
      <x:alignment horizontal="left" vertical="center" wrapText="1"/>
    </x:xf>
    <x:xf numFmtId="0" fontId="28" fillId="89" borderId="15" xfId="0" applyAlignment="1">
      <x:alignment horizontal="left" vertical="center"/>
    </x:xf>
    <x:xf numFmtId="3" fontId="28" fillId="89" borderId="15" xfId="0" applyAlignment="1">
      <x:alignment horizontal="right" vertical="center"/>
    </x:xf>
    <x:xf numFmtId="168" fontId="28" fillId="89" borderId="15" xfId="0" applyAlignment="1">
      <x:alignment horizontal="right" vertical="center"/>
    </x:xf>
    <x:xf numFmtId="1" fontId="28" fillId="89" borderId="15" xfId="0" applyAlignment="1">
      <x:alignment horizontal="right" vertical="center"/>
    </x:xf>
    <x:xf numFmtId="164" fontId="28" fillId="89" borderId="15" xfId="0" applyAlignment="1">
      <x:alignment horizontal="right" vertical="center"/>
    </x:xf>
    <x:xf numFmtId="166" fontId="28" fillId="89" borderId="15" xfId="0" applyAlignment="1">
      <x:alignment horizontal="right" vertical="center"/>
    </x:xf>
    <x:xf numFmtId="165" fontId="28" fillId="89" borderId="15" xfId="0" applyAlignment="1">
      <x:alignment horizontal="right" vertical="center"/>
    </x:xf>
    <x:xf numFmtId="167" fontId="28" fillId="89" borderId="15" xfId="0" applyAlignment="1">
      <x:alignment horizontal="right" vertical="center"/>
    </x:xf>
    <x:xf numFmtId="0" fontId="28" fillId="89" borderId="15" xfId="0" applyAlignment="1">
      <x:alignment horizontal="center" vertical="center"/>
    </x:xf>
    <x:xf numFmtId="0" fontId="28" fillId="89" borderId="15" xfId="0" applyAlignment="1">
      <x:alignment horizontal="left" vertical="center" wrapText="1"/>
    </x:xf>
    <x:xf numFmtId="0" fontId="28" fillId="89" borderId="15" xfId="0" applyAlignment="1">
      <x:alignment horizontal="right" vertical="center"/>
    </x:xf>
    <x:xf numFmtId="0" fontId="28" fillId="89" borderId="15" xfId="0" applyAlignment="1">
      <x:alignment horizontal="right" vertical="center" wrapText="1"/>
    </x:xf>
    <x:xf numFmtId="0" fontId="29" fillId="89" borderId="15" xfId="0" applyAlignment="1">
      <x:alignment horizontal="right" vertical="center" wrapText="1"/>
    </x:xf>
    <x:xf numFmtId="0" fontId="29" fillId="89" borderId="15" xfId="0" applyAlignment="1">
      <x:alignment horizontal="left" vertical="center" wrapText="1"/>
    </x:xf>
    <x:xf numFmtId="0" fontId="11" fillId="90" borderId="15" xfId="0" applyAlignment="1">
      <x:alignment horizontal="left" vertical="center"/>
    </x:xf>
    <x:xf numFmtId="3" fontId="11" fillId="90" borderId="15" xfId="0" applyAlignment="1">
      <x:alignment horizontal="right" vertical="center"/>
    </x:xf>
    <x:xf numFmtId="168" fontId="11" fillId="90" borderId="15" xfId="0" applyAlignment="1">
      <x:alignment horizontal="right" vertical="center"/>
    </x:xf>
    <x:xf numFmtId="1" fontId="11" fillId="90" borderId="15" xfId="0" applyAlignment="1">
      <x:alignment horizontal="right" vertical="center"/>
    </x:xf>
    <x:xf numFmtId="164" fontId="11" fillId="90" borderId="15" xfId="0" applyAlignment="1">
      <x:alignment horizontal="right" vertical="center"/>
    </x:xf>
    <x:xf numFmtId="166" fontId="11" fillId="90" borderId="15" xfId="0" applyAlignment="1">
      <x:alignment horizontal="right" vertical="center"/>
    </x:xf>
    <x:xf numFmtId="165" fontId="11" fillId="90" borderId="15" xfId="0" applyAlignment="1">
      <x:alignment horizontal="right" vertical="center"/>
    </x:xf>
    <x:xf numFmtId="167" fontId="11" fillId="90" borderId="15" xfId="0" applyAlignment="1">
      <x:alignment horizontal="right" vertical="center"/>
    </x:xf>
    <x:xf numFmtId="0" fontId="12" fillId="90" borderId="15" xfId="0" applyAlignment="1">
      <x:alignment horizontal="center" vertical="center"/>
    </x:xf>
    <x:xf numFmtId="0" fontId="11" fillId="90" borderId="15" xfId="0" applyAlignment="1">
      <x:alignment horizontal="left" vertical="center" wrapText="1"/>
    </x:xf>
    <x:xf numFmtId="0" fontId="28" fillId="90" borderId="15" xfId="0" applyAlignment="1">
      <x:alignment horizontal="left" vertical="center"/>
    </x:xf>
    <x:xf numFmtId="3" fontId="28" fillId="90" borderId="15" xfId="0" applyAlignment="1">
      <x:alignment horizontal="right" vertical="center"/>
    </x:xf>
    <x:xf numFmtId="168" fontId="28" fillId="90" borderId="15" xfId="0" applyAlignment="1">
      <x:alignment horizontal="right" vertical="center"/>
    </x:xf>
    <x:xf numFmtId="1" fontId="28" fillId="90" borderId="15" xfId="0" applyAlignment="1">
      <x:alignment horizontal="right" vertical="center"/>
    </x:xf>
    <x:xf numFmtId="164" fontId="28" fillId="90" borderId="15" xfId="0" applyAlignment="1">
      <x:alignment horizontal="right" vertical="center"/>
    </x:xf>
    <x:xf numFmtId="166" fontId="28" fillId="90" borderId="15" xfId="0" applyAlignment="1">
      <x:alignment horizontal="right" vertical="center"/>
    </x:xf>
    <x:xf numFmtId="165" fontId="28" fillId="90" borderId="15" xfId="0" applyAlignment="1">
      <x:alignment horizontal="right" vertical="center"/>
    </x:xf>
    <x:xf numFmtId="167" fontId="28" fillId="90" borderId="15" xfId="0" applyAlignment="1">
      <x:alignment horizontal="right" vertical="center"/>
    </x:xf>
    <x:xf numFmtId="0" fontId="28" fillId="90" borderId="15" xfId="0" applyAlignment="1">
      <x:alignment horizontal="center" vertical="center"/>
    </x:xf>
    <x:xf numFmtId="0" fontId="28" fillId="90" borderId="15" xfId="0" applyAlignment="1">
      <x:alignment horizontal="left" vertical="center" wrapText="1"/>
    </x:xf>
    <x:xf numFmtId="0" fontId="28" fillId="90" borderId="15" xfId="0" applyAlignment="1">
      <x:alignment horizontal="right" vertical="center"/>
    </x:xf>
    <x:xf numFmtId="0" fontId="28" fillId="90" borderId="15" xfId="0" applyAlignment="1">
      <x:alignment horizontal="right" vertical="center" wrapText="1"/>
    </x:xf>
    <x:xf numFmtId="0" fontId="29" fillId="90" borderId="15" xfId="0" applyAlignment="1">
      <x:alignment horizontal="right" vertical="center" wrapText="1"/>
    </x:xf>
    <x:xf numFmtId="0" fontId="29" fillId="90" borderId="15" xfId="0" applyAlignment="1">
      <x:alignment horizontal="left" vertical="center" wrapText="1"/>
    </x:xf>
    <x:xf numFmtId="0" fontId="19" fillId="87" borderId="15" xfId="0" applyAlignment="1">
      <x:alignment horizontal="center" vertical="center"/>
    </x:xf>
    <x:xf numFmtId="0" fontId="20" fillId="87" borderId="15" xfId="0" applyAlignment="1">
      <x:alignment horizontal="center" vertical="center"/>
    </x:xf>
    <x:xf numFmtId="0" fontId="19" fillId="88" borderId="15" xfId="0" applyAlignment="1">
      <x:alignment horizontal="center" vertical="center"/>
    </x:xf>
    <x:xf numFmtId="0" fontId="20" fillId="88" borderId="15" xfId="0" applyAlignment="1">
      <x:alignment horizontal="center" vertical="center"/>
    </x:xf>
    <x:xf numFmtId="0" fontId="19" fillId="89" borderId="15" xfId="0" applyAlignment="1">
      <x:alignment horizontal="center" vertical="center"/>
    </x:xf>
    <x:xf numFmtId="0" fontId="20" fillId="89" borderId="15" xfId="0" applyAlignment="1">
      <x:alignment horizontal="center" vertical="center"/>
    </x:xf>
    <x:xf numFmtId="0" fontId="21" fillId="90" borderId="15" xfId="0" applyAlignment="1">
      <x:alignment horizontal="center" vertical="center"/>
    </x:xf>
    <x:xf numFmtId="0" fontId="19" fillId="90" borderId="15" xfId="0" applyAlignment="1">
      <x:alignment horizontal="center" vertical="center"/>
    </x:xf>
    <x:xf numFmtId="0" fontId="20" fillId="90" borderId="15" xfId="0" applyAlignment="1">
      <x:alignment horizontal="center" vertical="center"/>
    </x:xf>
    <x:xf numFmtId="0" fontId="21" fillId="87" borderId="15" xfId="0" applyAlignment="1">
      <x:alignment horizontal="center" vertical="center"/>
    </x:xf>
    <x:xf numFmtId="0" fontId="21" fillId="88" borderId="15" xfId="0" applyAlignment="1">
      <x:alignment horizontal="center" vertical="center"/>
    </x:xf>
    <x:xf numFmtId="0" fontId="21" fillId="89" borderId="15" xfId="0" applyAlignment="1">
      <x:alignment horizontal="center" vertical="center"/>
    </x:xf>
    <x:xf numFmtId="0" fontId="28" fillId="91" borderId="15" xfId="0" applyAlignment="1">
      <x:alignment horizontal="left" vertical="center"/>
    </x:xf>
    <x:xf numFmtId="3" fontId="28" fillId="91" borderId="15" xfId="0" applyAlignment="1">
      <x:alignment horizontal="right" vertical="center"/>
    </x:xf>
    <x:xf numFmtId="168" fontId="28" fillId="91" borderId="15" xfId="0" applyAlignment="1">
      <x:alignment horizontal="right" vertical="center"/>
    </x:xf>
    <x:xf numFmtId="1" fontId="28" fillId="91" borderId="15" xfId="0" applyAlignment="1">
      <x:alignment horizontal="right" vertical="center"/>
    </x:xf>
    <x:xf numFmtId="164" fontId="28" fillId="91" borderId="15" xfId="0" applyAlignment="1">
      <x:alignment horizontal="right" vertical="center"/>
    </x:xf>
    <x:xf numFmtId="166" fontId="28" fillId="91" borderId="15" xfId="0" applyAlignment="1">
      <x:alignment horizontal="right" vertical="center"/>
    </x:xf>
    <x:xf numFmtId="165" fontId="28" fillId="91" borderId="15" xfId="0" applyAlignment="1">
      <x:alignment horizontal="right" vertical="center"/>
    </x:xf>
    <x:xf numFmtId="167" fontId="28" fillId="91" borderId="15" xfId="0" applyAlignment="1">
      <x:alignment horizontal="right" vertical="center"/>
    </x:xf>
    <x:xf numFmtId="0" fontId="19" fillId="91" borderId="15" xfId="0" applyAlignment="1">
      <x:alignment horizontal="center" vertical="center"/>
    </x:xf>
    <x:xf numFmtId="0" fontId="29" fillId="91" borderId="15" xfId="0" applyAlignment="1">
      <x:alignment horizontal="left" vertical="center" wrapText="1"/>
    </x:xf>
    <x:xf numFmtId="0" fontId="12" fillId="92" borderId="3" xfId="0" applyAlignment="1">
      <x:alignment horizontal="left" vertical="center"/>
    </x:xf>
    <x:xf numFmtId="0" fontId="2" fillId="92" borderId="3" xfId="0" applyAlignment="1">
      <x:alignment horizontal="left" vertical="center"/>
    </x:xf>
    <x:xf numFmtId="0" fontId="15" fillId="92" borderId="2" xfId="0" applyAlignment="1">
      <x:alignment horizontal="left" vertical="center"/>
    </x:xf>
    <x:xf numFmtId="0" fontId="3" fillId="92" borderId="2" xfId="0" applyAlignment="1">
      <x:alignment horizontal="left" vertical="center"/>
    </x:xf>
    <x:xf numFmtId="0" fontId="12" fillId="93" borderId="15" xfId="0" applyAlignment="1">
      <x:alignment horizontal="center" vertical="center" wrapText="1"/>
    </x:xf>
    <x:xf numFmtId="0" fontId="4" fillId="93" borderId="15" xfId="0" applyAlignment="1">
      <x:alignment horizontal="center" vertical="center" wrapText="1"/>
    </x:xf>
    <x:xf numFmtId="0" fontId="12" fillId="94" borderId="15" xfId="0" applyAlignment="1">
      <x:alignment horizontal="center" vertical="center" wrapText="1"/>
    </x:xf>
    <x:xf numFmtId="0" fontId="16" fillId="94" borderId="15" xfId="0" applyAlignment="1">
      <x:alignment horizontal="center" vertical="center" wrapText="1"/>
    </x:xf>
    <x:xf numFmtId="0" fontId="12" fillId="93" borderId="15" xfId="0" applyAlignment="1">
      <x:alignment horizontal="left" vertical="center"/>
    </x:xf>
    <x:xf numFmtId="3" fontId="12" fillId="93" borderId="15" xfId="0" applyAlignment="1">
      <x:alignment horizontal="left" vertical="center"/>
    </x:xf>
    <x:xf numFmtId="168" fontId="12" fillId="93" borderId="15" xfId="0" applyAlignment="1">
      <x:alignment horizontal="left" vertical="center"/>
    </x:xf>
    <x:xf numFmtId="1" fontId="12" fillId="93" borderId="15" xfId="0" applyAlignment="1">
      <x:alignment horizontal="left" vertical="center"/>
    </x:xf>
    <x:xf numFmtId="164" fontId="12" fillId="93" borderId="15" xfId="0" applyAlignment="1">
      <x:alignment horizontal="left" vertical="center"/>
    </x:xf>
    <x:xf numFmtId="166" fontId="12" fillId="93" borderId="15" xfId="0" applyAlignment="1">
      <x:alignment horizontal="left" vertical="center"/>
    </x:xf>
    <x:xf numFmtId="165" fontId="12" fillId="93" borderId="15" xfId="0" applyAlignment="1">
      <x:alignment horizontal="left" vertical="center"/>
    </x:xf>
    <x:xf numFmtId="0" fontId="11" fillId="93" borderId="0" xfId="0" applyAlignment="1">
      <x:alignment vertical="center"/>
    </x:xf>
    <x:xf numFmtId="0" fontId="4" fillId="93" borderId="15" xfId="0" applyAlignment="1">
      <x:alignment horizontal="left" vertical="center"/>
    </x:xf>
    <x:xf numFmtId="3" fontId="4" fillId="93" borderId="15" xfId="0" applyAlignment="1">
      <x:alignment horizontal="left" vertical="center"/>
    </x:xf>
    <x:xf numFmtId="168" fontId="4" fillId="93" borderId="15" xfId="0" applyAlignment="1">
      <x:alignment horizontal="left" vertical="center"/>
    </x:xf>
    <x:xf numFmtId="1" fontId="4" fillId="93" borderId="15" xfId="0" applyAlignment="1">
      <x:alignment horizontal="left" vertical="center"/>
    </x:xf>
    <x:xf numFmtId="164" fontId="4" fillId="93" borderId="15" xfId="0" applyAlignment="1">
      <x:alignment horizontal="left" vertical="center"/>
    </x:xf>
    <x:xf numFmtId="166" fontId="4" fillId="93" borderId="15" xfId="0" applyAlignment="1">
      <x:alignment horizontal="left" vertical="center"/>
    </x:xf>
    <x:xf numFmtId="165" fontId="4" fillId="93" borderId="15" xfId="0" applyAlignment="1">
      <x:alignment horizontal="left" vertical="center"/>
    </x:xf>
    <x:xf numFmtId="0" fontId="4" fillId="93" borderId="0" xfId="0" applyAlignment="1">
      <x:alignment vertical="center"/>
    </x:xf>
    <x:xf numFmtId="0" fontId="4" fillId="93" borderId="15" xfId="0" applyAlignment="1">
      <x:alignment vertical="center"/>
    </x:xf>
    <x:xf numFmtId="0" fontId="12" fillId="95" borderId="15" xfId="0" applyAlignment="1">
      <x:alignment horizontal="left" vertical="center"/>
    </x:xf>
    <x:xf numFmtId="3" fontId="12" fillId="95" borderId="15" xfId="0" applyAlignment="1">
      <x:alignment horizontal="left" vertical="center"/>
    </x:xf>
    <x:xf numFmtId="168" fontId="12" fillId="95" borderId="15" xfId="0" applyAlignment="1">
      <x:alignment horizontal="left" vertical="center"/>
    </x:xf>
    <x:xf numFmtId="1" fontId="12" fillId="95" borderId="15" xfId="0" applyAlignment="1">
      <x:alignment horizontal="left" vertical="center"/>
    </x:xf>
    <x:xf numFmtId="164" fontId="12" fillId="95" borderId="15" xfId="0" applyAlignment="1">
      <x:alignment horizontal="left" vertical="center"/>
    </x:xf>
    <x:xf numFmtId="166" fontId="12" fillId="95" borderId="15" xfId="0" applyAlignment="1">
      <x:alignment horizontal="left" vertical="center"/>
    </x:xf>
    <x:xf numFmtId="165" fontId="12" fillId="95" borderId="15" xfId="0" applyAlignment="1">
      <x:alignment horizontal="left" vertical="center"/>
    </x:xf>
    <x:xf numFmtId="0" fontId="11" fillId="95" borderId="0" xfId="0" applyAlignment="1">
      <x:alignment vertical="center"/>
    </x:xf>
    <x:xf numFmtId="0" fontId="4" fillId="95" borderId="15" xfId="0" applyAlignment="1">
      <x:alignment horizontal="left" vertical="center"/>
    </x:xf>
    <x:xf numFmtId="3" fontId="4" fillId="95" borderId="15" xfId="0" applyAlignment="1">
      <x:alignment horizontal="left" vertical="center"/>
    </x:xf>
    <x:xf numFmtId="168" fontId="4" fillId="95" borderId="15" xfId="0" applyAlignment="1">
      <x:alignment horizontal="left" vertical="center"/>
    </x:xf>
    <x:xf numFmtId="1" fontId="4" fillId="95" borderId="15" xfId="0" applyAlignment="1">
      <x:alignment horizontal="left" vertical="center"/>
    </x:xf>
    <x:xf numFmtId="164" fontId="4" fillId="95" borderId="15" xfId="0" applyAlignment="1">
      <x:alignment horizontal="left" vertical="center"/>
    </x:xf>
    <x:xf numFmtId="166" fontId="4" fillId="95" borderId="15" xfId="0" applyAlignment="1">
      <x:alignment horizontal="left" vertical="center"/>
    </x:xf>
    <x:xf numFmtId="165" fontId="4" fillId="95" borderId="15" xfId="0" applyAlignment="1">
      <x:alignment horizontal="left" vertical="center"/>
    </x:xf>
    <x:xf numFmtId="0" fontId="4" fillId="95" borderId="0" xfId="0" applyAlignment="1">
      <x:alignment vertical="center"/>
    </x:xf>
    <x:xf numFmtId="0" fontId="4" fillId="95" borderId="15" xfId="0" applyAlignment="1">
      <x:alignment vertical="center"/>
    </x:xf>
    <x:xf numFmtId="0" fontId="11" fillId="96" borderId="15" xfId="0" applyAlignment="1">
      <x:alignment horizontal="left" vertical="center"/>
    </x:xf>
    <x:xf numFmtId="3" fontId="11" fillId="96" borderId="15" xfId="0" applyAlignment="1">
      <x:alignment horizontal="right" vertical="center"/>
    </x:xf>
    <x:xf numFmtId="168" fontId="11" fillId="96" borderId="15" xfId="0" applyAlignment="1">
      <x:alignment horizontal="right" vertical="center"/>
    </x:xf>
    <x:xf numFmtId="1" fontId="11" fillId="96" borderId="15" xfId="0" applyAlignment="1">
      <x:alignment horizontal="right" vertical="center"/>
    </x:xf>
    <x:xf numFmtId="164" fontId="11" fillId="96" borderId="15" xfId="0" applyAlignment="1">
      <x:alignment horizontal="right" vertical="center"/>
    </x:xf>
    <x:xf numFmtId="166" fontId="11" fillId="96" borderId="15" xfId="0" applyAlignment="1">
      <x:alignment horizontal="right" vertical="center"/>
    </x:xf>
    <x:xf numFmtId="165" fontId="11" fillId="96" borderId="15" xfId="0" applyAlignment="1">
      <x:alignment horizontal="right" vertical="center"/>
    </x:xf>
    <x:xf numFmtId="0" fontId="11" fillId="96" borderId="0" xfId="0" applyAlignment="1">
      <x:alignment vertical="center"/>
    </x:xf>
    <x:xf numFmtId="0" fontId="12" fillId="96" borderId="15" xfId="0" applyAlignment="1">
      <x:alignment horizontal="center" vertical="center"/>
    </x:xf>
    <x:xf numFmtId="0" fontId="11" fillId="96" borderId="15" xfId="0" applyAlignment="1">
      <x:alignment horizontal="left" vertical="center" wrapText="1"/>
    </x:xf>
    <x:xf numFmtId="0" fontId="30" fillId="96" borderId="15" xfId="0" applyAlignment="1">
      <x:alignment horizontal="left" vertical="center"/>
    </x:xf>
    <x:xf numFmtId="3" fontId="30" fillId="96" borderId="15" xfId="0" applyAlignment="1">
      <x:alignment horizontal="right" vertical="center"/>
    </x:xf>
    <x:xf numFmtId="168" fontId="30" fillId="96" borderId="15" xfId="0" applyAlignment="1">
      <x:alignment horizontal="right" vertical="center"/>
    </x:xf>
    <x:xf numFmtId="1" fontId="30" fillId="96" borderId="15" xfId="0" applyAlignment="1">
      <x:alignment horizontal="right" vertical="center"/>
    </x:xf>
    <x:xf numFmtId="164" fontId="30" fillId="96" borderId="15" xfId="0" applyAlignment="1">
      <x:alignment horizontal="right" vertical="center"/>
    </x:xf>
    <x:xf numFmtId="166" fontId="30" fillId="96" borderId="15" xfId="0" applyAlignment="1">
      <x:alignment horizontal="right" vertical="center"/>
    </x:xf>
    <x:xf numFmtId="165" fontId="30" fillId="96" borderId="15" xfId="0" applyAlignment="1">
      <x:alignment horizontal="right" vertical="center"/>
    </x:xf>
    <x:xf numFmtId="0" fontId="30" fillId="96" borderId="0" xfId="0" applyAlignment="1">
      <x:alignment vertical="center"/>
    </x:xf>
    <x:xf numFmtId="0" fontId="30" fillId="96" borderId="15" xfId="0" applyAlignment="1">
      <x:alignment horizontal="center" vertical="center"/>
    </x:xf>
    <x:xf numFmtId="0" fontId="30" fillId="96" borderId="15" xfId="0" applyAlignment="1">
      <x:alignment horizontal="left" vertical="center" wrapText="1"/>
    </x:xf>
    <x:xf numFmtId="0" fontId="30" fillId="96" borderId="15" xfId="0" applyAlignment="1">
      <x:alignment vertical="center"/>
    </x:xf>
    <x:xf numFmtId="0" fontId="30" fillId="96" borderId="15" xfId="0" applyAlignment="1">
      <x:alignment horizontal="right" vertical="center"/>
    </x:xf>
    <x:xf numFmtId="0" fontId="30" fillId="96" borderId="15" xfId="0" applyAlignment="1">
      <x:alignment horizontal="right" vertical="center" wrapText="1"/>
    </x:xf>
    <x:xf numFmtId="0" fontId="31" fillId="96" borderId="15" xfId="0" applyAlignment="1">
      <x:alignment horizontal="right" vertical="center" wrapText="1"/>
    </x:xf>
    <x:xf numFmtId="0" fontId="31" fillId="96" borderId="15" xfId="0" applyAlignment="1">
      <x:alignment horizontal="left" vertical="center" wrapText="1"/>
    </x:xf>
    <x:xf numFmtId="0" fontId="11" fillId="97" borderId="15" xfId="0" applyAlignment="1">
      <x:alignment horizontal="left" vertical="center"/>
    </x:xf>
    <x:xf numFmtId="3" fontId="11" fillId="97" borderId="15" xfId="0" applyAlignment="1">
      <x:alignment horizontal="right" vertical="center"/>
    </x:xf>
    <x:xf numFmtId="168" fontId="11" fillId="97" borderId="15" xfId="0" applyAlignment="1">
      <x:alignment horizontal="right" vertical="center"/>
    </x:xf>
    <x:xf numFmtId="1" fontId="11" fillId="97" borderId="15" xfId="0" applyAlignment="1">
      <x:alignment horizontal="right" vertical="center"/>
    </x:xf>
    <x:xf numFmtId="164" fontId="11" fillId="97" borderId="15" xfId="0" applyAlignment="1">
      <x:alignment horizontal="right" vertical="center"/>
    </x:xf>
    <x:xf numFmtId="166" fontId="11" fillId="97" borderId="15" xfId="0" applyAlignment="1">
      <x:alignment horizontal="right" vertical="center"/>
    </x:xf>
    <x:xf numFmtId="165" fontId="11" fillId="97" borderId="15" xfId="0" applyAlignment="1">
      <x:alignment horizontal="right" vertical="center"/>
    </x:xf>
    <x:xf numFmtId="0" fontId="11" fillId="97" borderId="0" xfId="0" applyAlignment="1">
      <x:alignment vertical="center"/>
    </x:xf>
    <x:xf numFmtId="0" fontId="12" fillId="97" borderId="15" xfId="0" applyAlignment="1">
      <x:alignment horizontal="center" vertical="center"/>
    </x:xf>
    <x:xf numFmtId="0" fontId="11" fillId="97" borderId="15" xfId="0" applyAlignment="1">
      <x:alignment horizontal="left" vertical="center" wrapText="1"/>
    </x:xf>
    <x:xf numFmtId="0" fontId="30" fillId="97" borderId="15" xfId="0" applyAlignment="1">
      <x:alignment horizontal="left" vertical="center"/>
    </x:xf>
    <x:xf numFmtId="3" fontId="30" fillId="97" borderId="15" xfId="0" applyAlignment="1">
      <x:alignment horizontal="right" vertical="center"/>
    </x:xf>
    <x:xf numFmtId="168" fontId="30" fillId="97" borderId="15" xfId="0" applyAlignment="1">
      <x:alignment horizontal="right" vertical="center"/>
    </x:xf>
    <x:xf numFmtId="1" fontId="30" fillId="97" borderId="15" xfId="0" applyAlignment="1">
      <x:alignment horizontal="right" vertical="center"/>
    </x:xf>
    <x:xf numFmtId="164" fontId="30" fillId="97" borderId="15" xfId="0" applyAlignment="1">
      <x:alignment horizontal="right" vertical="center"/>
    </x:xf>
    <x:xf numFmtId="166" fontId="30" fillId="97" borderId="15" xfId="0" applyAlignment="1">
      <x:alignment horizontal="right" vertical="center"/>
    </x:xf>
    <x:xf numFmtId="165" fontId="30" fillId="97" borderId="15" xfId="0" applyAlignment="1">
      <x:alignment horizontal="right" vertical="center"/>
    </x:xf>
    <x:xf numFmtId="0" fontId="30" fillId="97" borderId="0" xfId="0" applyAlignment="1">
      <x:alignment vertical="center"/>
    </x:xf>
    <x:xf numFmtId="0" fontId="30" fillId="97" borderId="15" xfId="0" applyAlignment="1">
      <x:alignment horizontal="center" vertical="center"/>
    </x:xf>
    <x:xf numFmtId="0" fontId="30" fillId="97" borderId="15" xfId="0" applyAlignment="1">
      <x:alignment horizontal="left" vertical="center" wrapText="1"/>
    </x:xf>
    <x:xf numFmtId="0" fontId="30" fillId="97" borderId="15" xfId="0" applyAlignment="1">
      <x:alignment vertical="center"/>
    </x:xf>
    <x:xf numFmtId="0" fontId="30" fillId="97" borderId="15" xfId="0" applyAlignment="1">
      <x:alignment horizontal="right" vertical="center"/>
    </x:xf>
    <x:xf numFmtId="0" fontId="30" fillId="97" borderId="15" xfId="0" applyAlignment="1">
      <x:alignment horizontal="right" vertical="center" wrapText="1"/>
    </x:xf>
    <x:xf numFmtId="0" fontId="31" fillId="97" borderId="15" xfId="0" applyAlignment="1">
      <x:alignment horizontal="right" vertical="center" wrapText="1"/>
    </x:xf>
    <x:xf numFmtId="0" fontId="31" fillId="97" borderId="15" xfId="0" applyAlignment="1">
      <x:alignment horizontal="left" vertical="center" wrapText="1"/>
    </x:xf>
    <x:xf numFmtId="0" fontId="11" fillId="98" borderId="15" xfId="0" applyAlignment="1">
      <x:alignment horizontal="left" vertical="center"/>
    </x:xf>
    <x:xf numFmtId="3" fontId="11" fillId="98" borderId="15" xfId="0" applyAlignment="1">
      <x:alignment horizontal="right" vertical="center"/>
    </x:xf>
    <x:xf numFmtId="168" fontId="11" fillId="98" borderId="15" xfId="0" applyAlignment="1">
      <x:alignment horizontal="right" vertical="center"/>
    </x:xf>
    <x:xf numFmtId="1" fontId="11" fillId="98" borderId="15" xfId="0" applyAlignment="1">
      <x:alignment horizontal="right" vertical="center"/>
    </x:xf>
    <x:xf numFmtId="164" fontId="11" fillId="98" borderId="15" xfId="0" applyAlignment="1">
      <x:alignment horizontal="right" vertical="center"/>
    </x:xf>
    <x:xf numFmtId="166" fontId="11" fillId="98" borderId="15" xfId="0" applyAlignment="1">
      <x:alignment horizontal="right" vertical="center"/>
    </x:xf>
    <x:xf numFmtId="165" fontId="11" fillId="98" borderId="15" xfId="0" applyAlignment="1">
      <x:alignment horizontal="right" vertical="center"/>
    </x:xf>
    <x:xf numFmtId="0" fontId="11" fillId="98" borderId="0" xfId="0" applyAlignment="1">
      <x:alignment vertical="center"/>
    </x:xf>
    <x:xf numFmtId="0" fontId="12" fillId="98" borderId="15" xfId="0" applyAlignment="1">
      <x:alignment horizontal="center" vertical="center"/>
    </x:xf>
    <x:xf numFmtId="0" fontId="11" fillId="98" borderId="15" xfId="0" applyAlignment="1">
      <x:alignment horizontal="left" vertical="center" wrapText="1"/>
    </x:xf>
    <x:xf numFmtId="0" fontId="30" fillId="98" borderId="15" xfId="0" applyAlignment="1">
      <x:alignment horizontal="left" vertical="center"/>
    </x:xf>
    <x:xf numFmtId="3" fontId="30" fillId="98" borderId="15" xfId="0" applyAlignment="1">
      <x:alignment horizontal="right" vertical="center"/>
    </x:xf>
    <x:xf numFmtId="168" fontId="30" fillId="98" borderId="15" xfId="0" applyAlignment="1">
      <x:alignment horizontal="right" vertical="center"/>
    </x:xf>
    <x:xf numFmtId="1" fontId="30" fillId="98" borderId="15" xfId="0" applyAlignment="1">
      <x:alignment horizontal="right" vertical="center"/>
    </x:xf>
    <x:xf numFmtId="164" fontId="30" fillId="98" borderId="15" xfId="0" applyAlignment="1">
      <x:alignment horizontal="right" vertical="center"/>
    </x:xf>
    <x:xf numFmtId="166" fontId="30" fillId="98" borderId="15" xfId="0" applyAlignment="1">
      <x:alignment horizontal="right" vertical="center"/>
    </x:xf>
    <x:xf numFmtId="165" fontId="30" fillId="98" borderId="15" xfId="0" applyAlignment="1">
      <x:alignment horizontal="right" vertical="center"/>
    </x:xf>
    <x:xf numFmtId="0" fontId="30" fillId="98" borderId="0" xfId="0" applyAlignment="1">
      <x:alignment vertical="center"/>
    </x:xf>
    <x:xf numFmtId="0" fontId="30" fillId="98" borderId="15" xfId="0" applyAlignment="1">
      <x:alignment horizontal="center" vertical="center"/>
    </x:xf>
    <x:xf numFmtId="0" fontId="30" fillId="98" borderId="15" xfId="0" applyAlignment="1">
      <x:alignment horizontal="left" vertical="center" wrapText="1"/>
    </x:xf>
    <x:xf numFmtId="0" fontId="30" fillId="98" borderId="15" xfId="0" applyAlignment="1">
      <x:alignment vertical="center"/>
    </x:xf>
    <x:xf numFmtId="0" fontId="30" fillId="98" borderId="15" xfId="0" applyAlignment="1">
      <x:alignment horizontal="right" vertical="center"/>
    </x:xf>
    <x:xf numFmtId="0" fontId="30" fillId="98" borderId="15" xfId="0" applyAlignment="1">
      <x:alignment horizontal="right" vertical="center" wrapText="1"/>
    </x:xf>
    <x:xf numFmtId="0" fontId="31" fillId="98" borderId="15" xfId="0" applyAlignment="1">
      <x:alignment horizontal="right" vertical="center" wrapText="1"/>
    </x:xf>
    <x:xf numFmtId="0" fontId="31" fillId="98" borderId="15" xfId="0" applyAlignment="1">
      <x:alignment horizontal="left" vertical="center" wrapText="1"/>
    </x:xf>
    <x:xf numFmtId="0" fontId="11" fillId="99" borderId="15" xfId="0" applyAlignment="1">
      <x:alignment horizontal="left" vertical="center"/>
    </x:xf>
    <x:xf numFmtId="3" fontId="11" fillId="99" borderId="15" xfId="0" applyAlignment="1">
      <x:alignment horizontal="right" vertical="center"/>
    </x:xf>
    <x:xf numFmtId="168" fontId="11" fillId="99" borderId="15" xfId="0" applyAlignment="1">
      <x:alignment horizontal="right" vertical="center"/>
    </x:xf>
    <x:xf numFmtId="1" fontId="11" fillId="99" borderId="15" xfId="0" applyAlignment="1">
      <x:alignment horizontal="right" vertical="center"/>
    </x:xf>
    <x:xf numFmtId="164" fontId="11" fillId="99" borderId="15" xfId="0" applyAlignment="1">
      <x:alignment horizontal="right" vertical="center"/>
    </x:xf>
    <x:xf numFmtId="166" fontId="11" fillId="99" borderId="15" xfId="0" applyAlignment="1">
      <x:alignment horizontal="right" vertical="center"/>
    </x:xf>
    <x:xf numFmtId="165" fontId="11" fillId="99" borderId="15" xfId="0" applyAlignment="1">
      <x:alignment horizontal="right" vertical="center"/>
    </x:xf>
    <x:xf numFmtId="0" fontId="11" fillId="99" borderId="0" xfId="0" applyAlignment="1">
      <x:alignment vertical="center"/>
    </x:xf>
    <x:xf numFmtId="0" fontId="12" fillId="99" borderId="15" xfId="0" applyAlignment="1">
      <x:alignment horizontal="center" vertical="center"/>
    </x:xf>
    <x:xf numFmtId="0" fontId="11" fillId="99" borderId="15" xfId="0" applyAlignment="1">
      <x:alignment horizontal="left" vertical="center" wrapText="1"/>
    </x:xf>
    <x:xf numFmtId="0" fontId="30" fillId="99" borderId="15" xfId="0" applyAlignment="1">
      <x:alignment horizontal="left" vertical="center"/>
    </x:xf>
    <x:xf numFmtId="3" fontId="30" fillId="99" borderId="15" xfId="0" applyAlignment="1">
      <x:alignment horizontal="right" vertical="center"/>
    </x:xf>
    <x:xf numFmtId="168" fontId="30" fillId="99" borderId="15" xfId="0" applyAlignment="1">
      <x:alignment horizontal="right" vertical="center"/>
    </x:xf>
    <x:xf numFmtId="1" fontId="30" fillId="99" borderId="15" xfId="0" applyAlignment="1">
      <x:alignment horizontal="right" vertical="center"/>
    </x:xf>
    <x:xf numFmtId="164" fontId="30" fillId="99" borderId="15" xfId="0" applyAlignment="1">
      <x:alignment horizontal="right" vertical="center"/>
    </x:xf>
    <x:xf numFmtId="166" fontId="30" fillId="99" borderId="15" xfId="0" applyAlignment="1">
      <x:alignment horizontal="right" vertical="center"/>
    </x:xf>
    <x:xf numFmtId="165" fontId="30" fillId="99" borderId="15" xfId="0" applyAlignment="1">
      <x:alignment horizontal="right" vertical="center"/>
    </x:xf>
    <x:xf numFmtId="0" fontId="30" fillId="99" borderId="0" xfId="0" applyAlignment="1">
      <x:alignment vertical="center"/>
    </x:xf>
    <x:xf numFmtId="0" fontId="30" fillId="99" borderId="15" xfId="0" applyAlignment="1">
      <x:alignment horizontal="center" vertical="center"/>
    </x:xf>
    <x:xf numFmtId="0" fontId="30" fillId="99" borderId="15" xfId="0" applyAlignment="1">
      <x:alignment horizontal="left" vertical="center" wrapText="1"/>
    </x:xf>
    <x:xf numFmtId="0" fontId="30" fillId="99" borderId="15" xfId="0" applyAlignment="1">
      <x:alignment vertical="center"/>
    </x:xf>
    <x:xf numFmtId="0" fontId="30" fillId="99" borderId="15" xfId="0" applyAlignment="1">
      <x:alignment horizontal="right" vertical="center"/>
    </x:xf>
    <x:xf numFmtId="0" fontId="30" fillId="99" borderId="15" xfId="0" applyAlignment="1">
      <x:alignment horizontal="right" vertical="center" wrapText="1"/>
    </x:xf>
    <x:xf numFmtId="0" fontId="31" fillId="99" borderId="15" xfId="0" applyAlignment="1">
      <x:alignment horizontal="right" vertical="center" wrapText="1"/>
    </x:xf>
    <x:xf numFmtId="0" fontId="31" fillId="99" borderId="15" xfId="0" applyAlignment="1">
      <x:alignment horizontal="left" vertical="center" wrapText="1"/>
    </x:xf>
    <x:xf numFmtId="0" fontId="19" fillId="96" borderId="15" xfId="0" applyAlignment="1">
      <x:alignment horizontal="center" vertical="center"/>
    </x:xf>
    <x:xf numFmtId="0" fontId="20" fillId="96" borderId="15" xfId="0" applyAlignment="1">
      <x:alignment horizontal="center" vertical="center"/>
    </x:xf>
    <x:xf numFmtId="0" fontId="19" fillId="97" borderId="15" xfId="0" applyAlignment="1">
      <x:alignment horizontal="center" vertical="center"/>
    </x:xf>
    <x:xf numFmtId="0" fontId="20" fillId="97" borderId="15" xfId="0" applyAlignment="1">
      <x:alignment horizontal="center" vertical="center"/>
    </x:xf>
    <x:xf numFmtId="0" fontId="19" fillId="98" borderId="15" xfId="0" applyAlignment="1">
      <x:alignment horizontal="center" vertical="center"/>
    </x:xf>
    <x:xf numFmtId="0" fontId="20" fillId="98" borderId="15" xfId="0" applyAlignment="1">
      <x:alignment horizontal="center" vertical="center"/>
    </x:xf>
    <x:xf numFmtId="0" fontId="21" fillId="99" borderId="15" xfId="0" applyAlignment="1">
      <x:alignment horizontal="center" vertical="center"/>
    </x:xf>
    <x:xf numFmtId="0" fontId="19" fillId="99" borderId="15" xfId="0" applyAlignment="1">
      <x:alignment horizontal="center" vertical="center"/>
    </x:xf>
    <x:xf numFmtId="0" fontId="20" fillId="99" borderId="15" xfId="0" applyAlignment="1">
      <x:alignment horizontal="center" vertical="center"/>
    </x:xf>
    <x:xf numFmtId="0" fontId="21" fillId="96" borderId="15" xfId="0" applyAlignment="1">
      <x:alignment horizontal="center" vertical="center"/>
    </x:xf>
    <x:xf numFmtId="0" fontId="21" fillId="97" borderId="15" xfId="0" applyAlignment="1">
      <x:alignment horizontal="center" vertical="center"/>
    </x:xf>
    <x:xf numFmtId="0" fontId="21" fillId="98" borderId="15" xfId="0" applyAlignment="1">
      <x:alignment horizontal="center" vertical="center"/>
    </x:xf>
    <x:xf numFmtId="0" fontId="30" fillId="100" borderId="15" xfId="0" applyAlignment="1">
      <x:alignment horizontal="left" vertical="center"/>
    </x:xf>
    <x:xf numFmtId="3" fontId="30" fillId="100" borderId="15" xfId="0" applyAlignment="1">
      <x:alignment horizontal="right" vertical="center"/>
    </x:xf>
    <x:xf numFmtId="168" fontId="30" fillId="100" borderId="15" xfId="0" applyAlignment="1">
      <x:alignment horizontal="right" vertical="center"/>
    </x:xf>
    <x:xf numFmtId="1" fontId="30" fillId="100" borderId="15" xfId="0" applyAlignment="1">
      <x:alignment horizontal="right" vertical="center"/>
    </x:xf>
    <x:xf numFmtId="164" fontId="30" fillId="100" borderId="15" xfId="0" applyAlignment="1">
      <x:alignment horizontal="right" vertical="center"/>
    </x:xf>
    <x:xf numFmtId="166" fontId="30" fillId="100" borderId="15" xfId="0" applyAlignment="1">
      <x:alignment horizontal="right" vertical="center"/>
    </x:xf>
    <x:xf numFmtId="165" fontId="30" fillId="100" borderId="15" xfId="0" applyAlignment="1">
      <x:alignment horizontal="right" vertical="center"/>
    </x:xf>
    <x:xf numFmtId="0" fontId="30" fillId="100" borderId="15" xfId="0" applyAlignment="1">
      <x:alignment horizontal="right" vertical="center"/>
    </x:xf>
    <x:xf numFmtId="0" fontId="19" fillId="100" borderId="15" xfId="0" applyAlignment="1">
      <x:alignment horizontal="center" vertical="center"/>
    </x:xf>
    <x:xf numFmtId="0" fontId="31" fillId="100" borderId="15" xfId="0" applyAlignment="1">
      <x:alignment horizontal="left" vertical="center" wrapText="1"/>
    </x:xf>
    <x:xf numFmtId="167" fontId="4" fillId="93" borderId="15" xfId="0" applyAlignment="1">
      <x:alignment horizontal="left" vertical="center"/>
    </x:xf>
    <x:xf numFmtId="167" fontId="4" fillId="95" borderId="15" xfId="0" applyAlignment="1">
      <x:alignment horizontal="left" vertical="center"/>
    </x:xf>
    <x:xf numFmtId="167" fontId="30" fillId="96" borderId="15" xfId="0" applyAlignment="1">
      <x:alignment horizontal="right" vertical="center"/>
    </x:xf>
    <x:xf numFmtId="167" fontId="30" fillId="100" borderId="15" xfId="0" applyAlignment="1">
      <x:alignment horizontal="right" vertical="center"/>
    </x:xf>
    <x:xf numFmtId="167" fontId="30" fillId="97" borderId="15" xfId="0" applyAlignment="1">
      <x:alignment horizontal="right" vertical="center"/>
    </x:xf>
    <x:xf numFmtId="167" fontId="30" fillId="98" borderId="15" xfId="0" applyAlignment="1">
      <x:alignment horizontal="right" vertical="center"/>
    </x:xf>
    <x:xf numFmtId="167" fontId="30" fillId="99" borderId="15" xfId="0" applyAlignment="1">
      <x:alignment horizontal="right" vertical="center"/>
    </x:xf>
    <x:xf numFmtId="0" fontId="12" fillId="101" borderId="3" xfId="0" applyAlignment="1">
      <x:alignment horizontal="left" vertical="center"/>
    </x:xf>
    <x:xf numFmtId="0" fontId="2" fillId="101" borderId="3" xfId="0" applyAlignment="1">
      <x:alignment horizontal="left" vertical="center"/>
    </x:xf>
    <x:xf numFmtId="0" fontId="15" fillId="101" borderId="2" xfId="0" applyAlignment="1">
      <x:alignment horizontal="left" vertical="center"/>
    </x:xf>
    <x:xf numFmtId="0" fontId="3" fillId="101" borderId="2" xfId="0" applyAlignment="1">
      <x:alignment horizontal="left" vertical="center"/>
    </x:xf>
    <x:xf numFmtId="0" fontId="12" fillId="102" borderId="15" xfId="0" applyAlignment="1">
      <x:alignment horizontal="center" vertical="center" wrapText="1"/>
    </x:xf>
    <x:xf numFmtId="0" fontId="4" fillId="102" borderId="15" xfId="0" applyAlignment="1">
      <x:alignment horizontal="center" vertical="center" wrapText="1"/>
    </x:xf>
    <x:xf numFmtId="0" fontId="12" fillId="103" borderId="15" xfId="0" applyAlignment="1">
      <x:alignment horizontal="center" vertical="center" wrapText="1"/>
    </x:xf>
    <x:xf numFmtId="0" fontId="16" fillId="103" borderId="15" xfId="0" applyAlignment="1">
      <x:alignment horizontal="center" vertical="center" wrapText="1"/>
    </x:xf>
    <x:xf numFmtId="0" fontId="12" fillId="102" borderId="15" xfId="0" applyAlignment="1">
      <x:alignment horizontal="left" vertical="center"/>
    </x:xf>
    <x:xf numFmtId="3" fontId="12" fillId="102" borderId="15" xfId="0" applyAlignment="1">
      <x:alignment horizontal="left" vertical="center"/>
    </x:xf>
    <x:xf numFmtId="168" fontId="12" fillId="102" borderId="15" xfId="0" applyAlignment="1">
      <x:alignment horizontal="left" vertical="center"/>
    </x:xf>
    <x:xf numFmtId="1" fontId="12" fillId="102" borderId="15" xfId="0" applyAlignment="1">
      <x:alignment horizontal="left" vertical="center"/>
    </x:xf>
    <x:xf numFmtId="164" fontId="12" fillId="102" borderId="15" xfId="0" applyAlignment="1">
      <x:alignment horizontal="left" vertical="center"/>
    </x:xf>
    <x:xf numFmtId="166" fontId="12" fillId="102" borderId="15" xfId="0" applyAlignment="1">
      <x:alignment horizontal="left" vertical="center"/>
    </x:xf>
    <x:xf numFmtId="165" fontId="12" fillId="102" borderId="15" xfId="0" applyAlignment="1">
      <x:alignment horizontal="left" vertical="center"/>
    </x:xf>
    <x:xf numFmtId="0" fontId="11" fillId="102" borderId="0" xfId="0" applyAlignment="1">
      <x:alignment vertical="center"/>
    </x:xf>
    <x:xf numFmtId="0" fontId="4" fillId="102" borderId="15" xfId="0" applyAlignment="1">
      <x:alignment horizontal="left" vertical="center"/>
    </x:xf>
    <x:xf numFmtId="3" fontId="4" fillId="102" borderId="15" xfId="0" applyAlignment="1">
      <x:alignment horizontal="left" vertical="center"/>
    </x:xf>
    <x:xf numFmtId="168" fontId="4" fillId="102" borderId="15" xfId="0" applyAlignment="1">
      <x:alignment horizontal="left" vertical="center"/>
    </x:xf>
    <x:xf numFmtId="1" fontId="4" fillId="102" borderId="15" xfId="0" applyAlignment="1">
      <x:alignment horizontal="left" vertical="center"/>
    </x:xf>
    <x:xf numFmtId="164" fontId="4" fillId="102" borderId="15" xfId="0" applyAlignment="1">
      <x:alignment horizontal="left" vertical="center"/>
    </x:xf>
    <x:xf numFmtId="166" fontId="4" fillId="102" borderId="15" xfId="0" applyAlignment="1">
      <x:alignment horizontal="left" vertical="center"/>
    </x:xf>
    <x:xf numFmtId="165" fontId="4" fillId="102" borderId="15" xfId="0" applyAlignment="1">
      <x:alignment horizontal="left" vertical="center"/>
    </x:xf>
    <x:xf numFmtId="0" fontId="4" fillId="102" borderId="0" xfId="0" applyAlignment="1">
      <x:alignment vertical="center"/>
    </x:xf>
    <x:xf numFmtId="0" fontId="4" fillId="102" borderId="15" xfId="0" applyAlignment="1">
      <x:alignment vertical="center"/>
    </x:xf>
    <x:xf numFmtId="0" fontId="12" fillId="104" borderId="15" xfId="0" applyAlignment="1">
      <x:alignment horizontal="left" vertical="center"/>
    </x:xf>
    <x:xf numFmtId="3" fontId="12" fillId="104" borderId="15" xfId="0" applyAlignment="1">
      <x:alignment horizontal="left" vertical="center"/>
    </x:xf>
    <x:xf numFmtId="168" fontId="12" fillId="104" borderId="15" xfId="0" applyAlignment="1">
      <x:alignment horizontal="left" vertical="center"/>
    </x:xf>
    <x:xf numFmtId="1" fontId="12" fillId="104" borderId="15" xfId="0" applyAlignment="1">
      <x:alignment horizontal="left" vertical="center"/>
    </x:xf>
    <x:xf numFmtId="164" fontId="12" fillId="104" borderId="15" xfId="0" applyAlignment="1">
      <x:alignment horizontal="left" vertical="center"/>
    </x:xf>
    <x:xf numFmtId="166" fontId="12" fillId="104" borderId="15" xfId="0" applyAlignment="1">
      <x:alignment horizontal="left" vertical="center"/>
    </x:xf>
    <x:xf numFmtId="165" fontId="12" fillId="104" borderId="15" xfId="0" applyAlignment="1">
      <x:alignment horizontal="left" vertical="center"/>
    </x:xf>
    <x:xf numFmtId="0" fontId="11" fillId="104" borderId="0" xfId="0" applyAlignment="1">
      <x:alignment vertical="center"/>
    </x:xf>
    <x:xf numFmtId="0" fontId="4" fillId="104" borderId="15" xfId="0" applyAlignment="1">
      <x:alignment horizontal="left" vertical="center"/>
    </x:xf>
    <x:xf numFmtId="3" fontId="4" fillId="104" borderId="15" xfId="0" applyAlignment="1">
      <x:alignment horizontal="left" vertical="center"/>
    </x:xf>
    <x:xf numFmtId="168" fontId="4" fillId="104" borderId="15" xfId="0" applyAlignment="1">
      <x:alignment horizontal="left" vertical="center"/>
    </x:xf>
    <x:xf numFmtId="1" fontId="4" fillId="104" borderId="15" xfId="0" applyAlignment="1">
      <x:alignment horizontal="left" vertical="center"/>
    </x:xf>
    <x:xf numFmtId="164" fontId="4" fillId="104" borderId="15" xfId="0" applyAlignment="1">
      <x:alignment horizontal="left" vertical="center"/>
    </x:xf>
    <x:xf numFmtId="166" fontId="4" fillId="104" borderId="15" xfId="0" applyAlignment="1">
      <x:alignment horizontal="left" vertical="center"/>
    </x:xf>
    <x:xf numFmtId="165" fontId="4" fillId="104" borderId="15" xfId="0" applyAlignment="1">
      <x:alignment horizontal="left" vertical="center"/>
    </x:xf>
    <x:xf numFmtId="0" fontId="4" fillId="104" borderId="0" xfId="0" applyAlignment="1">
      <x:alignment vertical="center"/>
    </x:xf>
    <x:xf numFmtId="0" fontId="4" fillId="104" borderId="15" xfId="0" applyAlignment="1">
      <x:alignment vertical="center"/>
    </x:xf>
    <x:xf numFmtId="0" fontId="11" fillId="105" borderId="15" xfId="0" applyAlignment="1">
      <x:alignment horizontal="left" vertical="center"/>
    </x:xf>
    <x:xf numFmtId="3" fontId="11" fillId="105" borderId="15" xfId="0" applyAlignment="1">
      <x:alignment horizontal="right" vertical="center"/>
    </x:xf>
    <x:xf numFmtId="168" fontId="11" fillId="105" borderId="15" xfId="0" applyAlignment="1">
      <x:alignment horizontal="right" vertical="center"/>
    </x:xf>
    <x:xf numFmtId="1" fontId="11" fillId="105" borderId="15" xfId="0" applyAlignment="1">
      <x:alignment horizontal="right" vertical="center"/>
    </x:xf>
    <x:xf numFmtId="164" fontId="11" fillId="105" borderId="15" xfId="0" applyAlignment="1">
      <x:alignment horizontal="right" vertical="center"/>
    </x:xf>
    <x:xf numFmtId="166" fontId="11" fillId="105" borderId="15" xfId="0" applyAlignment="1">
      <x:alignment horizontal="right" vertical="center"/>
    </x:xf>
    <x:xf numFmtId="165" fontId="11" fillId="105" borderId="15" xfId="0" applyAlignment="1">
      <x:alignment horizontal="right" vertical="center"/>
    </x:xf>
    <x:xf numFmtId="0" fontId="11" fillId="105" borderId="0" xfId="0" applyAlignment="1">
      <x:alignment vertical="center"/>
    </x:xf>
    <x:xf numFmtId="0" fontId="12" fillId="105" borderId="15" xfId="0" applyAlignment="1">
      <x:alignment horizontal="center" vertical="center"/>
    </x:xf>
    <x:xf numFmtId="0" fontId="11" fillId="105" borderId="15" xfId="0" applyAlignment="1">
      <x:alignment horizontal="left" vertical="center" wrapText="1"/>
    </x:xf>
    <x:xf numFmtId="0" fontId="32" fillId="105" borderId="15" xfId="0" applyAlignment="1">
      <x:alignment horizontal="left" vertical="center"/>
    </x:xf>
    <x:xf numFmtId="3" fontId="32" fillId="105" borderId="15" xfId="0" applyAlignment="1">
      <x:alignment horizontal="right" vertical="center"/>
    </x:xf>
    <x:xf numFmtId="168" fontId="32" fillId="105" borderId="15" xfId="0" applyAlignment="1">
      <x:alignment horizontal="right" vertical="center"/>
    </x:xf>
    <x:xf numFmtId="1" fontId="32" fillId="105" borderId="15" xfId="0" applyAlignment="1">
      <x:alignment horizontal="right" vertical="center"/>
    </x:xf>
    <x:xf numFmtId="164" fontId="32" fillId="105" borderId="15" xfId="0" applyAlignment="1">
      <x:alignment horizontal="right" vertical="center"/>
    </x:xf>
    <x:xf numFmtId="166" fontId="32" fillId="105" borderId="15" xfId="0" applyAlignment="1">
      <x:alignment horizontal="right" vertical="center"/>
    </x:xf>
    <x:xf numFmtId="165" fontId="32" fillId="105" borderId="15" xfId="0" applyAlignment="1">
      <x:alignment horizontal="right" vertical="center"/>
    </x:xf>
    <x:xf numFmtId="0" fontId="32" fillId="105" borderId="0" xfId="0" applyAlignment="1">
      <x:alignment vertical="center"/>
    </x:xf>
    <x:xf numFmtId="0" fontId="32" fillId="105" borderId="15" xfId="0" applyAlignment="1">
      <x:alignment horizontal="center" vertical="center"/>
    </x:xf>
    <x:xf numFmtId="0" fontId="32" fillId="105" borderId="15" xfId="0" applyAlignment="1">
      <x:alignment horizontal="left" vertical="center" wrapText="1"/>
    </x:xf>
    <x:xf numFmtId="0" fontId="32" fillId="105" borderId="15" xfId="0" applyAlignment="1">
      <x:alignment vertical="center"/>
    </x:xf>
    <x:xf numFmtId="0" fontId="32" fillId="105" borderId="15" xfId="0" applyAlignment="1">
      <x:alignment horizontal="right" vertical="center"/>
    </x:xf>
    <x:xf numFmtId="0" fontId="32" fillId="105" borderId="15" xfId="0" applyAlignment="1">
      <x:alignment horizontal="right" vertical="center" wrapText="1"/>
    </x:xf>
    <x:xf numFmtId="0" fontId="33" fillId="105" borderId="15" xfId="0" applyAlignment="1">
      <x:alignment horizontal="right" vertical="center" wrapText="1"/>
    </x:xf>
    <x:xf numFmtId="0" fontId="33" fillId="105" borderId="15" xfId="0" applyAlignment="1">
      <x:alignment horizontal="left" vertical="center" wrapText="1"/>
    </x:xf>
    <x:xf numFmtId="0" fontId="11" fillId="106" borderId="15" xfId="0" applyAlignment="1">
      <x:alignment horizontal="left" vertical="center"/>
    </x:xf>
    <x:xf numFmtId="3" fontId="11" fillId="106" borderId="15" xfId="0" applyAlignment="1">
      <x:alignment horizontal="right" vertical="center"/>
    </x:xf>
    <x:xf numFmtId="168" fontId="11" fillId="106" borderId="15" xfId="0" applyAlignment="1">
      <x:alignment horizontal="right" vertical="center"/>
    </x:xf>
    <x:xf numFmtId="1" fontId="11" fillId="106" borderId="15" xfId="0" applyAlignment="1">
      <x:alignment horizontal="right" vertical="center"/>
    </x:xf>
    <x:xf numFmtId="164" fontId="11" fillId="106" borderId="15" xfId="0" applyAlignment="1">
      <x:alignment horizontal="right" vertical="center"/>
    </x:xf>
    <x:xf numFmtId="166" fontId="11" fillId="106" borderId="15" xfId="0" applyAlignment="1">
      <x:alignment horizontal="right" vertical="center"/>
    </x:xf>
    <x:xf numFmtId="165" fontId="11" fillId="106" borderId="15" xfId="0" applyAlignment="1">
      <x:alignment horizontal="right" vertical="center"/>
    </x:xf>
    <x:xf numFmtId="0" fontId="11" fillId="106" borderId="0" xfId="0" applyAlignment="1">
      <x:alignment vertical="center"/>
    </x:xf>
    <x:xf numFmtId="0" fontId="12" fillId="106" borderId="15" xfId="0" applyAlignment="1">
      <x:alignment horizontal="center" vertical="center"/>
    </x:xf>
    <x:xf numFmtId="0" fontId="11" fillId="106" borderId="15" xfId="0" applyAlignment="1">
      <x:alignment horizontal="left" vertical="center" wrapText="1"/>
    </x:xf>
    <x:xf numFmtId="0" fontId="32" fillId="106" borderId="15" xfId="0" applyAlignment="1">
      <x:alignment horizontal="left" vertical="center"/>
    </x:xf>
    <x:xf numFmtId="3" fontId="32" fillId="106" borderId="15" xfId="0" applyAlignment="1">
      <x:alignment horizontal="right" vertical="center"/>
    </x:xf>
    <x:xf numFmtId="168" fontId="32" fillId="106" borderId="15" xfId="0" applyAlignment="1">
      <x:alignment horizontal="right" vertical="center"/>
    </x:xf>
    <x:xf numFmtId="1" fontId="32" fillId="106" borderId="15" xfId="0" applyAlignment="1">
      <x:alignment horizontal="right" vertical="center"/>
    </x:xf>
    <x:xf numFmtId="164" fontId="32" fillId="106" borderId="15" xfId="0" applyAlignment="1">
      <x:alignment horizontal="right" vertical="center"/>
    </x:xf>
    <x:xf numFmtId="166" fontId="32" fillId="106" borderId="15" xfId="0" applyAlignment="1">
      <x:alignment horizontal="right" vertical="center"/>
    </x:xf>
    <x:xf numFmtId="165" fontId="32" fillId="106" borderId="15" xfId="0" applyAlignment="1">
      <x:alignment horizontal="right" vertical="center"/>
    </x:xf>
    <x:xf numFmtId="0" fontId="32" fillId="106" borderId="0" xfId="0" applyAlignment="1">
      <x:alignment vertical="center"/>
    </x:xf>
    <x:xf numFmtId="0" fontId="32" fillId="106" borderId="15" xfId="0" applyAlignment="1">
      <x:alignment horizontal="center" vertical="center"/>
    </x:xf>
    <x:xf numFmtId="0" fontId="32" fillId="106" borderId="15" xfId="0" applyAlignment="1">
      <x:alignment horizontal="left" vertical="center" wrapText="1"/>
    </x:xf>
    <x:xf numFmtId="0" fontId="32" fillId="106" borderId="15" xfId="0" applyAlignment="1">
      <x:alignment vertical="center"/>
    </x:xf>
    <x:xf numFmtId="0" fontId="32" fillId="106" borderId="15" xfId="0" applyAlignment="1">
      <x:alignment horizontal="right" vertical="center"/>
    </x:xf>
    <x:xf numFmtId="0" fontId="32" fillId="106" borderId="15" xfId="0" applyAlignment="1">
      <x:alignment horizontal="right" vertical="center" wrapText="1"/>
    </x:xf>
    <x:xf numFmtId="0" fontId="33" fillId="106" borderId="15" xfId="0" applyAlignment="1">
      <x:alignment horizontal="right" vertical="center" wrapText="1"/>
    </x:xf>
    <x:xf numFmtId="0" fontId="33" fillId="106" borderId="15" xfId="0" applyAlignment="1">
      <x:alignment horizontal="left" vertical="center" wrapText="1"/>
    </x:xf>
    <x:xf numFmtId="0" fontId="11" fillId="107" borderId="15" xfId="0" applyAlignment="1">
      <x:alignment horizontal="left" vertical="center"/>
    </x:xf>
    <x:xf numFmtId="3" fontId="11" fillId="107" borderId="15" xfId="0" applyAlignment="1">
      <x:alignment horizontal="right" vertical="center"/>
    </x:xf>
    <x:xf numFmtId="168" fontId="11" fillId="107" borderId="15" xfId="0" applyAlignment="1">
      <x:alignment horizontal="right" vertical="center"/>
    </x:xf>
    <x:xf numFmtId="1" fontId="11" fillId="107" borderId="15" xfId="0" applyAlignment="1">
      <x:alignment horizontal="right" vertical="center"/>
    </x:xf>
    <x:xf numFmtId="164" fontId="11" fillId="107" borderId="15" xfId="0" applyAlignment="1">
      <x:alignment horizontal="right" vertical="center"/>
    </x:xf>
    <x:xf numFmtId="166" fontId="11" fillId="107" borderId="15" xfId="0" applyAlignment="1">
      <x:alignment horizontal="right" vertical="center"/>
    </x:xf>
    <x:xf numFmtId="165" fontId="11" fillId="107" borderId="15" xfId="0" applyAlignment="1">
      <x:alignment horizontal="right" vertical="center"/>
    </x:xf>
    <x:xf numFmtId="0" fontId="11" fillId="107" borderId="0" xfId="0" applyAlignment="1">
      <x:alignment vertical="center"/>
    </x:xf>
    <x:xf numFmtId="0" fontId="12" fillId="107" borderId="15" xfId="0" applyAlignment="1">
      <x:alignment horizontal="center" vertical="center"/>
    </x:xf>
    <x:xf numFmtId="0" fontId="11" fillId="107" borderId="15" xfId="0" applyAlignment="1">
      <x:alignment horizontal="left" vertical="center" wrapText="1"/>
    </x:xf>
    <x:xf numFmtId="0" fontId="32" fillId="107" borderId="15" xfId="0" applyAlignment="1">
      <x:alignment horizontal="left" vertical="center"/>
    </x:xf>
    <x:xf numFmtId="3" fontId="32" fillId="107" borderId="15" xfId="0" applyAlignment="1">
      <x:alignment horizontal="right" vertical="center"/>
    </x:xf>
    <x:xf numFmtId="168" fontId="32" fillId="107" borderId="15" xfId="0" applyAlignment="1">
      <x:alignment horizontal="right" vertical="center"/>
    </x:xf>
    <x:xf numFmtId="1" fontId="32" fillId="107" borderId="15" xfId="0" applyAlignment="1">
      <x:alignment horizontal="right" vertical="center"/>
    </x:xf>
    <x:xf numFmtId="164" fontId="32" fillId="107" borderId="15" xfId="0" applyAlignment="1">
      <x:alignment horizontal="right" vertical="center"/>
    </x:xf>
    <x:xf numFmtId="166" fontId="32" fillId="107" borderId="15" xfId="0" applyAlignment="1">
      <x:alignment horizontal="right" vertical="center"/>
    </x:xf>
    <x:xf numFmtId="165" fontId="32" fillId="107" borderId="15" xfId="0" applyAlignment="1">
      <x:alignment horizontal="right" vertical="center"/>
    </x:xf>
    <x:xf numFmtId="0" fontId="32" fillId="107" borderId="0" xfId="0" applyAlignment="1">
      <x:alignment vertical="center"/>
    </x:xf>
    <x:xf numFmtId="0" fontId="32" fillId="107" borderId="15" xfId="0" applyAlignment="1">
      <x:alignment horizontal="center" vertical="center"/>
    </x:xf>
    <x:xf numFmtId="0" fontId="32" fillId="107" borderId="15" xfId="0" applyAlignment="1">
      <x:alignment horizontal="left" vertical="center" wrapText="1"/>
    </x:xf>
    <x:xf numFmtId="0" fontId="32" fillId="107" borderId="15" xfId="0" applyAlignment="1">
      <x:alignment vertical="center"/>
    </x:xf>
    <x:xf numFmtId="0" fontId="32" fillId="107" borderId="15" xfId="0" applyAlignment="1">
      <x:alignment horizontal="right" vertical="center"/>
    </x:xf>
    <x:xf numFmtId="0" fontId="32" fillId="107" borderId="15" xfId="0" applyAlignment="1">
      <x:alignment horizontal="right" vertical="center" wrapText="1"/>
    </x:xf>
    <x:xf numFmtId="0" fontId="33" fillId="107" borderId="15" xfId="0" applyAlignment="1">
      <x:alignment horizontal="right" vertical="center" wrapText="1"/>
    </x:xf>
    <x:xf numFmtId="0" fontId="33" fillId="107" borderId="15" xfId="0" applyAlignment="1">
      <x:alignment horizontal="left" vertical="center" wrapText="1"/>
    </x:xf>
    <x:xf numFmtId="0" fontId="11" fillId="108" borderId="15" xfId="0" applyAlignment="1">
      <x:alignment horizontal="left" vertical="center"/>
    </x:xf>
    <x:xf numFmtId="3" fontId="11" fillId="108" borderId="15" xfId="0" applyAlignment="1">
      <x:alignment horizontal="right" vertical="center"/>
    </x:xf>
    <x:xf numFmtId="168" fontId="11" fillId="108" borderId="15" xfId="0" applyAlignment="1">
      <x:alignment horizontal="right" vertical="center"/>
    </x:xf>
    <x:xf numFmtId="1" fontId="11" fillId="108" borderId="15" xfId="0" applyAlignment="1">
      <x:alignment horizontal="right" vertical="center"/>
    </x:xf>
    <x:xf numFmtId="164" fontId="11" fillId="108" borderId="15" xfId="0" applyAlignment="1">
      <x:alignment horizontal="right" vertical="center"/>
    </x:xf>
    <x:xf numFmtId="166" fontId="11" fillId="108" borderId="15" xfId="0" applyAlignment="1">
      <x:alignment horizontal="right" vertical="center"/>
    </x:xf>
    <x:xf numFmtId="165" fontId="11" fillId="108" borderId="15" xfId="0" applyAlignment="1">
      <x:alignment horizontal="right" vertical="center"/>
    </x:xf>
    <x:xf numFmtId="0" fontId="11" fillId="108" borderId="0" xfId="0" applyAlignment="1">
      <x:alignment vertical="center"/>
    </x:xf>
    <x:xf numFmtId="0" fontId="12" fillId="108" borderId="15" xfId="0" applyAlignment="1">
      <x:alignment horizontal="center" vertical="center"/>
    </x:xf>
    <x:xf numFmtId="0" fontId="11" fillId="108" borderId="15" xfId="0" applyAlignment="1">
      <x:alignment horizontal="left" vertical="center" wrapText="1"/>
    </x:xf>
    <x:xf numFmtId="0" fontId="32" fillId="108" borderId="15" xfId="0" applyAlignment="1">
      <x:alignment horizontal="left" vertical="center"/>
    </x:xf>
    <x:xf numFmtId="3" fontId="32" fillId="108" borderId="15" xfId="0" applyAlignment="1">
      <x:alignment horizontal="right" vertical="center"/>
    </x:xf>
    <x:xf numFmtId="168" fontId="32" fillId="108" borderId="15" xfId="0" applyAlignment="1">
      <x:alignment horizontal="right" vertical="center"/>
    </x:xf>
    <x:xf numFmtId="1" fontId="32" fillId="108" borderId="15" xfId="0" applyAlignment="1">
      <x:alignment horizontal="right" vertical="center"/>
    </x:xf>
    <x:xf numFmtId="164" fontId="32" fillId="108" borderId="15" xfId="0" applyAlignment="1">
      <x:alignment horizontal="right" vertical="center"/>
    </x:xf>
    <x:xf numFmtId="166" fontId="32" fillId="108" borderId="15" xfId="0" applyAlignment="1">
      <x:alignment horizontal="right" vertical="center"/>
    </x:xf>
    <x:xf numFmtId="165" fontId="32" fillId="108" borderId="15" xfId="0" applyAlignment="1">
      <x:alignment horizontal="right" vertical="center"/>
    </x:xf>
    <x:xf numFmtId="0" fontId="32" fillId="108" borderId="0" xfId="0" applyAlignment="1">
      <x:alignment vertical="center"/>
    </x:xf>
    <x:xf numFmtId="0" fontId="32" fillId="108" borderId="15" xfId="0" applyAlignment="1">
      <x:alignment horizontal="center" vertical="center"/>
    </x:xf>
    <x:xf numFmtId="0" fontId="32" fillId="108" borderId="15" xfId="0" applyAlignment="1">
      <x:alignment horizontal="left" vertical="center" wrapText="1"/>
    </x:xf>
    <x:xf numFmtId="0" fontId="32" fillId="108" borderId="15" xfId="0" applyAlignment="1">
      <x:alignment vertical="center"/>
    </x:xf>
    <x:xf numFmtId="0" fontId="32" fillId="108" borderId="15" xfId="0" applyAlignment="1">
      <x:alignment horizontal="right" vertical="center"/>
    </x:xf>
    <x:xf numFmtId="0" fontId="32" fillId="108" borderId="15" xfId="0" applyAlignment="1">
      <x:alignment horizontal="right" vertical="center" wrapText="1"/>
    </x:xf>
    <x:xf numFmtId="0" fontId="33" fillId="108" borderId="15" xfId="0" applyAlignment="1">
      <x:alignment horizontal="right" vertical="center" wrapText="1"/>
    </x:xf>
    <x:xf numFmtId="0" fontId="33" fillId="108" borderId="15" xfId="0" applyAlignment="1">
      <x:alignment horizontal="left" vertical="center" wrapText="1"/>
    </x:xf>
    <x:xf numFmtId="0" fontId="19" fillId="105" borderId="15" xfId="0" applyAlignment="1">
      <x:alignment horizontal="center" vertical="center"/>
    </x:xf>
    <x:xf numFmtId="0" fontId="20" fillId="105" borderId="15" xfId="0" applyAlignment="1">
      <x:alignment horizontal="center" vertical="center"/>
    </x:xf>
    <x:xf numFmtId="0" fontId="19" fillId="106" borderId="15" xfId="0" applyAlignment="1">
      <x:alignment horizontal="center" vertical="center"/>
    </x:xf>
    <x:xf numFmtId="0" fontId="20" fillId="106" borderId="15" xfId="0" applyAlignment="1">
      <x:alignment horizontal="center" vertical="center"/>
    </x:xf>
    <x:xf numFmtId="0" fontId="19" fillId="107" borderId="15" xfId="0" applyAlignment="1">
      <x:alignment horizontal="center" vertical="center"/>
    </x:xf>
    <x:xf numFmtId="0" fontId="20" fillId="107" borderId="15" xfId="0" applyAlignment="1">
      <x:alignment horizontal="center" vertical="center"/>
    </x:xf>
    <x:xf numFmtId="0" fontId="21" fillId="108" borderId="15" xfId="0" applyAlignment="1">
      <x:alignment horizontal="center" vertical="center"/>
    </x:xf>
    <x:xf numFmtId="0" fontId="19" fillId="108" borderId="15" xfId="0" applyAlignment="1">
      <x:alignment horizontal="center" vertical="center"/>
    </x:xf>
    <x:xf numFmtId="0" fontId="20" fillId="108" borderId="15" xfId="0" applyAlignment="1">
      <x:alignment horizontal="center" vertical="center"/>
    </x:xf>
    <x:xf numFmtId="0" fontId="21" fillId="105" borderId="15" xfId="0" applyAlignment="1">
      <x:alignment horizontal="center" vertical="center"/>
    </x:xf>
    <x:xf numFmtId="0" fontId="21" fillId="106" borderId="15" xfId="0" applyAlignment="1">
      <x:alignment horizontal="center" vertical="center"/>
    </x:xf>
    <x:xf numFmtId="0" fontId="21" fillId="107" borderId="15" xfId="0" applyAlignment="1">
      <x:alignment horizontal="center" vertical="center"/>
    </x:xf>
    <x:xf numFmtId="0" fontId="32" fillId="109" borderId="15" xfId="0" applyAlignment="1">
      <x:alignment horizontal="left" vertical="center"/>
    </x:xf>
    <x:xf numFmtId="3" fontId="32" fillId="109" borderId="15" xfId="0" applyAlignment="1">
      <x:alignment horizontal="right" vertical="center"/>
    </x:xf>
    <x:xf numFmtId="168" fontId="32" fillId="109" borderId="15" xfId="0" applyAlignment="1">
      <x:alignment horizontal="right" vertical="center"/>
    </x:xf>
    <x:xf numFmtId="1" fontId="32" fillId="109" borderId="15" xfId="0" applyAlignment="1">
      <x:alignment horizontal="right" vertical="center"/>
    </x:xf>
    <x:xf numFmtId="164" fontId="32" fillId="109" borderId="15" xfId="0" applyAlignment="1">
      <x:alignment horizontal="right" vertical="center"/>
    </x:xf>
    <x:xf numFmtId="166" fontId="32" fillId="109" borderId="15" xfId="0" applyAlignment="1">
      <x:alignment horizontal="right" vertical="center"/>
    </x:xf>
    <x:xf numFmtId="165" fontId="32" fillId="109" borderId="15" xfId="0" applyAlignment="1">
      <x:alignment horizontal="right" vertical="center"/>
    </x:xf>
    <x:xf numFmtId="0" fontId="32" fillId="109" borderId="15" xfId="0" applyAlignment="1">
      <x:alignment horizontal="right" vertical="center"/>
    </x:xf>
    <x:xf numFmtId="0" fontId="19" fillId="109" borderId="15" xfId="0" applyAlignment="1">
      <x:alignment horizontal="center" vertical="center"/>
    </x:xf>
    <x:xf numFmtId="0" fontId="33" fillId="109" borderId="15" xfId="0" applyAlignment="1">
      <x:alignment horizontal="left" vertical="center" wrapText="1"/>
    </x:xf>
    <x:xf numFmtId="167" fontId="4" fillId="102" borderId="15" xfId="0" applyAlignment="1">
      <x:alignment horizontal="left" vertical="center"/>
    </x:xf>
    <x:xf numFmtId="167" fontId="4" fillId="104" borderId="15" xfId="0" applyAlignment="1">
      <x:alignment horizontal="left" vertical="center"/>
    </x:xf>
    <x:xf numFmtId="167" fontId="32" fillId="105" borderId="15" xfId="0" applyAlignment="1">
      <x:alignment horizontal="right" vertical="center"/>
    </x:xf>
    <x:xf numFmtId="167" fontId="32" fillId="109" borderId="15" xfId="0" applyAlignment="1">
      <x:alignment horizontal="right" vertical="center"/>
    </x:xf>
    <x:xf numFmtId="167" fontId="32" fillId="106" borderId="15" xfId="0" applyAlignment="1">
      <x:alignment horizontal="right" vertical="center"/>
    </x:xf>
    <x:xf numFmtId="167" fontId="32" fillId="107" borderId="15" xfId="0" applyAlignment="1">
      <x:alignment horizontal="right" vertical="center"/>
    </x:xf>
    <x:xf numFmtId="167" fontId="32" fillId="108" borderId="15" xfId="0" applyAlignment="1">
      <x:alignment horizontal="right" vertical="center"/>
    </x:xf>
    <x:xf numFmtId="0" fontId="12" fillId="110" borderId="3" xfId="0" applyAlignment="1">
      <x:alignment horizontal="left" vertical="center"/>
    </x:xf>
    <x:xf numFmtId="0" fontId="2" fillId="110" borderId="3" xfId="0" applyAlignment="1">
      <x:alignment horizontal="left" vertical="center"/>
    </x:xf>
    <x:xf numFmtId="0" fontId="15" fillId="110" borderId="2" xfId="0" applyAlignment="1">
      <x:alignment horizontal="left" vertical="center"/>
    </x:xf>
    <x:xf numFmtId="0" fontId="3" fillId="110" borderId="2" xfId="0" applyAlignment="1">
      <x:alignment horizontal="left" vertical="center"/>
    </x:xf>
    <x:xf numFmtId="0" fontId="12" fillId="111" borderId="15" xfId="0" applyAlignment="1">
      <x:alignment horizontal="center" vertical="center" wrapText="1"/>
    </x:xf>
    <x:xf numFmtId="0" fontId="4" fillId="111" borderId="15" xfId="0" applyAlignment="1">
      <x:alignment horizontal="center" vertical="center" wrapText="1"/>
    </x:xf>
    <x:xf numFmtId="0" fontId="12" fillId="112" borderId="15" xfId="0" applyAlignment="1">
      <x:alignment horizontal="center" vertical="center" wrapText="1"/>
    </x:xf>
    <x:xf numFmtId="0" fontId="16" fillId="112" borderId="15" xfId="0" applyAlignment="1">
      <x:alignment horizontal="center" vertical="center" wrapText="1"/>
    </x:xf>
    <x:xf numFmtId="0" fontId="12" fillId="111" borderId="15" xfId="0" applyAlignment="1">
      <x:alignment horizontal="left" vertical="center"/>
    </x:xf>
    <x:xf numFmtId="3" fontId="12" fillId="111" borderId="15" xfId="0" applyAlignment="1">
      <x:alignment horizontal="left" vertical="center"/>
    </x:xf>
    <x:xf numFmtId="168" fontId="12" fillId="111" borderId="15" xfId="0" applyAlignment="1">
      <x:alignment horizontal="left" vertical="center"/>
    </x:xf>
    <x:xf numFmtId="1" fontId="12" fillId="111" borderId="15" xfId="0" applyAlignment="1">
      <x:alignment horizontal="left" vertical="center"/>
    </x:xf>
    <x:xf numFmtId="164" fontId="12" fillId="111" borderId="15" xfId="0" applyAlignment="1">
      <x:alignment horizontal="left" vertical="center"/>
    </x:xf>
    <x:xf numFmtId="166" fontId="12" fillId="111" borderId="15" xfId="0" applyAlignment="1">
      <x:alignment horizontal="left" vertical="center"/>
    </x:xf>
    <x:xf numFmtId="165" fontId="12" fillId="111" borderId="15" xfId="0" applyAlignment="1">
      <x:alignment horizontal="left" vertical="center"/>
    </x:xf>
    <x:xf numFmtId="0" fontId="11" fillId="111" borderId="0" xfId="0" applyAlignment="1">
      <x:alignment vertical="center"/>
    </x:xf>
    <x:xf numFmtId="0" fontId="4" fillId="111" borderId="15" xfId="0" applyAlignment="1">
      <x:alignment horizontal="left" vertical="center"/>
    </x:xf>
    <x:xf numFmtId="3" fontId="4" fillId="111" borderId="15" xfId="0" applyAlignment="1">
      <x:alignment horizontal="left" vertical="center"/>
    </x:xf>
    <x:xf numFmtId="168" fontId="4" fillId="111" borderId="15" xfId="0" applyAlignment="1">
      <x:alignment horizontal="left" vertical="center"/>
    </x:xf>
    <x:xf numFmtId="1" fontId="4" fillId="111" borderId="15" xfId="0" applyAlignment="1">
      <x:alignment horizontal="left" vertical="center"/>
    </x:xf>
    <x:xf numFmtId="164" fontId="4" fillId="111" borderId="15" xfId="0" applyAlignment="1">
      <x:alignment horizontal="left" vertical="center"/>
    </x:xf>
    <x:xf numFmtId="166" fontId="4" fillId="111" borderId="15" xfId="0" applyAlignment="1">
      <x:alignment horizontal="left" vertical="center"/>
    </x:xf>
    <x:xf numFmtId="165" fontId="4" fillId="111" borderId="15" xfId="0" applyAlignment="1">
      <x:alignment horizontal="left" vertical="center"/>
    </x:xf>
    <x:xf numFmtId="0" fontId="4" fillId="111" borderId="0" xfId="0" applyAlignment="1">
      <x:alignment vertical="center"/>
    </x:xf>
    <x:xf numFmtId="0" fontId="4" fillId="111" borderId="15" xfId="0" applyAlignment="1">
      <x:alignment vertical="center"/>
    </x:xf>
    <x:xf numFmtId="0" fontId="12" fillId="113" borderId="15" xfId="0" applyAlignment="1">
      <x:alignment horizontal="left" vertical="center"/>
    </x:xf>
    <x:xf numFmtId="3" fontId="12" fillId="113" borderId="15" xfId="0" applyAlignment="1">
      <x:alignment horizontal="left" vertical="center"/>
    </x:xf>
    <x:xf numFmtId="168" fontId="12" fillId="113" borderId="15" xfId="0" applyAlignment="1">
      <x:alignment horizontal="left" vertical="center"/>
    </x:xf>
    <x:xf numFmtId="1" fontId="12" fillId="113" borderId="15" xfId="0" applyAlignment="1">
      <x:alignment horizontal="left" vertical="center"/>
    </x:xf>
    <x:xf numFmtId="164" fontId="12" fillId="113" borderId="15" xfId="0" applyAlignment="1">
      <x:alignment horizontal="left" vertical="center"/>
    </x:xf>
    <x:xf numFmtId="166" fontId="12" fillId="113" borderId="15" xfId="0" applyAlignment="1">
      <x:alignment horizontal="left" vertical="center"/>
    </x:xf>
    <x:xf numFmtId="165" fontId="12" fillId="113" borderId="15" xfId="0" applyAlignment="1">
      <x:alignment horizontal="left" vertical="center"/>
    </x:xf>
    <x:xf numFmtId="0" fontId="11" fillId="113" borderId="0" xfId="0" applyAlignment="1">
      <x:alignment vertical="center"/>
    </x:xf>
    <x:xf numFmtId="0" fontId="4" fillId="113" borderId="15" xfId="0" applyAlignment="1">
      <x:alignment horizontal="left" vertical="center"/>
    </x:xf>
    <x:xf numFmtId="3" fontId="4" fillId="113" borderId="15" xfId="0" applyAlignment="1">
      <x:alignment horizontal="left" vertical="center"/>
    </x:xf>
    <x:xf numFmtId="168" fontId="4" fillId="113" borderId="15" xfId="0" applyAlignment="1">
      <x:alignment horizontal="left" vertical="center"/>
    </x:xf>
    <x:xf numFmtId="1" fontId="4" fillId="113" borderId="15" xfId="0" applyAlignment="1">
      <x:alignment horizontal="left" vertical="center"/>
    </x:xf>
    <x:xf numFmtId="164" fontId="4" fillId="113" borderId="15" xfId="0" applyAlignment="1">
      <x:alignment horizontal="left" vertical="center"/>
    </x:xf>
    <x:xf numFmtId="166" fontId="4" fillId="113" borderId="15" xfId="0" applyAlignment="1">
      <x:alignment horizontal="left" vertical="center"/>
    </x:xf>
    <x:xf numFmtId="165" fontId="4" fillId="113" borderId="15" xfId="0" applyAlignment="1">
      <x:alignment horizontal="left" vertical="center"/>
    </x:xf>
    <x:xf numFmtId="0" fontId="4" fillId="113" borderId="0" xfId="0" applyAlignment="1">
      <x:alignment vertical="center"/>
    </x:xf>
    <x:xf numFmtId="0" fontId="4" fillId="113" borderId="15" xfId="0" applyAlignment="1">
      <x:alignment vertical="center"/>
    </x:xf>
    <x:xf numFmtId="0" fontId="11" fillId="114" borderId="15" xfId="0" applyAlignment="1">
      <x:alignment horizontal="left" vertical="center"/>
    </x:xf>
    <x:xf numFmtId="3" fontId="11" fillId="114" borderId="15" xfId="0" applyAlignment="1">
      <x:alignment horizontal="right" vertical="center"/>
    </x:xf>
    <x:xf numFmtId="168" fontId="11" fillId="114" borderId="15" xfId="0" applyAlignment="1">
      <x:alignment horizontal="right" vertical="center"/>
    </x:xf>
    <x:xf numFmtId="1" fontId="11" fillId="114" borderId="15" xfId="0" applyAlignment="1">
      <x:alignment horizontal="right" vertical="center"/>
    </x:xf>
    <x:xf numFmtId="164" fontId="11" fillId="114" borderId="15" xfId="0" applyAlignment="1">
      <x:alignment horizontal="right" vertical="center"/>
    </x:xf>
    <x:xf numFmtId="166" fontId="11" fillId="114" borderId="15" xfId="0" applyAlignment="1">
      <x:alignment horizontal="right" vertical="center"/>
    </x:xf>
    <x:xf numFmtId="165" fontId="11" fillId="114" borderId="15" xfId="0" applyAlignment="1">
      <x:alignment horizontal="right" vertical="center"/>
    </x:xf>
    <x:xf numFmtId="0" fontId="11" fillId="114" borderId="0" xfId="0" applyAlignment="1">
      <x:alignment vertical="center"/>
    </x:xf>
    <x:xf numFmtId="0" fontId="12" fillId="114" borderId="15" xfId="0" applyAlignment="1">
      <x:alignment horizontal="center" vertical="center"/>
    </x:xf>
    <x:xf numFmtId="0" fontId="11" fillId="114" borderId="15" xfId="0" applyAlignment="1">
      <x:alignment horizontal="left" vertical="center" wrapText="1"/>
    </x:xf>
    <x:xf numFmtId="0" fontId="34" fillId="114" borderId="15" xfId="0" applyAlignment="1">
      <x:alignment horizontal="left" vertical="center"/>
    </x:xf>
    <x:xf numFmtId="3" fontId="34" fillId="114" borderId="15" xfId="0" applyAlignment="1">
      <x:alignment horizontal="right" vertical="center"/>
    </x:xf>
    <x:xf numFmtId="168" fontId="34" fillId="114" borderId="15" xfId="0" applyAlignment="1">
      <x:alignment horizontal="right" vertical="center"/>
    </x:xf>
    <x:xf numFmtId="1" fontId="34" fillId="114" borderId="15" xfId="0" applyAlignment="1">
      <x:alignment horizontal="right" vertical="center"/>
    </x:xf>
    <x:xf numFmtId="164" fontId="34" fillId="114" borderId="15" xfId="0" applyAlignment="1">
      <x:alignment horizontal="right" vertical="center"/>
    </x:xf>
    <x:xf numFmtId="166" fontId="34" fillId="114" borderId="15" xfId="0" applyAlignment="1">
      <x:alignment horizontal="right" vertical="center"/>
    </x:xf>
    <x:xf numFmtId="165" fontId="34" fillId="114" borderId="15" xfId="0" applyAlignment="1">
      <x:alignment horizontal="right" vertical="center"/>
    </x:xf>
    <x:xf numFmtId="0" fontId="34" fillId="114" borderId="0" xfId="0" applyAlignment="1">
      <x:alignment vertical="center"/>
    </x:xf>
    <x:xf numFmtId="0" fontId="34" fillId="114" borderId="15" xfId="0" applyAlignment="1">
      <x:alignment horizontal="center" vertical="center"/>
    </x:xf>
    <x:xf numFmtId="0" fontId="34" fillId="114" borderId="15" xfId="0" applyAlignment="1">
      <x:alignment horizontal="left" vertical="center" wrapText="1"/>
    </x:xf>
    <x:xf numFmtId="0" fontId="34" fillId="114" borderId="15" xfId="0" applyAlignment="1">
      <x:alignment vertical="center"/>
    </x:xf>
    <x:xf numFmtId="0" fontId="34" fillId="114" borderId="15" xfId="0" applyAlignment="1">
      <x:alignment horizontal="right" vertical="center"/>
    </x:xf>
    <x:xf numFmtId="0" fontId="34" fillId="114" borderId="15" xfId="0" applyAlignment="1">
      <x:alignment horizontal="right" vertical="center" wrapText="1"/>
    </x:xf>
    <x:xf numFmtId="0" fontId="35" fillId="114" borderId="15" xfId="0" applyAlignment="1">
      <x:alignment horizontal="right" vertical="center" wrapText="1"/>
    </x:xf>
    <x:xf numFmtId="0" fontId="35" fillId="114" borderId="15" xfId="0" applyAlignment="1">
      <x:alignment horizontal="left" vertical="center" wrapText="1"/>
    </x:xf>
    <x:xf numFmtId="0" fontId="11" fillId="115" borderId="15" xfId="0" applyAlignment="1">
      <x:alignment horizontal="left" vertical="center"/>
    </x:xf>
    <x:xf numFmtId="3" fontId="11" fillId="115" borderId="15" xfId="0" applyAlignment="1">
      <x:alignment horizontal="right" vertical="center"/>
    </x:xf>
    <x:xf numFmtId="168" fontId="11" fillId="115" borderId="15" xfId="0" applyAlignment="1">
      <x:alignment horizontal="right" vertical="center"/>
    </x:xf>
    <x:xf numFmtId="1" fontId="11" fillId="115" borderId="15" xfId="0" applyAlignment="1">
      <x:alignment horizontal="right" vertical="center"/>
    </x:xf>
    <x:xf numFmtId="164" fontId="11" fillId="115" borderId="15" xfId="0" applyAlignment="1">
      <x:alignment horizontal="right" vertical="center"/>
    </x:xf>
    <x:xf numFmtId="166" fontId="11" fillId="115" borderId="15" xfId="0" applyAlignment="1">
      <x:alignment horizontal="right" vertical="center"/>
    </x:xf>
    <x:xf numFmtId="165" fontId="11" fillId="115" borderId="15" xfId="0" applyAlignment="1">
      <x:alignment horizontal="right" vertical="center"/>
    </x:xf>
    <x:xf numFmtId="0" fontId="11" fillId="115" borderId="0" xfId="0" applyAlignment="1">
      <x:alignment vertical="center"/>
    </x:xf>
    <x:xf numFmtId="0" fontId="12" fillId="115" borderId="15" xfId="0" applyAlignment="1">
      <x:alignment horizontal="center" vertical="center"/>
    </x:xf>
    <x:xf numFmtId="0" fontId="11" fillId="115" borderId="15" xfId="0" applyAlignment="1">
      <x:alignment horizontal="left" vertical="center" wrapText="1"/>
    </x:xf>
    <x:xf numFmtId="0" fontId="34" fillId="115" borderId="15" xfId="0" applyAlignment="1">
      <x:alignment horizontal="left" vertical="center"/>
    </x:xf>
    <x:xf numFmtId="3" fontId="34" fillId="115" borderId="15" xfId="0" applyAlignment="1">
      <x:alignment horizontal="right" vertical="center"/>
    </x:xf>
    <x:xf numFmtId="168" fontId="34" fillId="115" borderId="15" xfId="0" applyAlignment="1">
      <x:alignment horizontal="right" vertical="center"/>
    </x:xf>
    <x:xf numFmtId="1" fontId="34" fillId="115" borderId="15" xfId="0" applyAlignment="1">
      <x:alignment horizontal="right" vertical="center"/>
    </x:xf>
    <x:xf numFmtId="164" fontId="34" fillId="115" borderId="15" xfId="0" applyAlignment="1">
      <x:alignment horizontal="right" vertical="center"/>
    </x:xf>
    <x:xf numFmtId="166" fontId="34" fillId="115" borderId="15" xfId="0" applyAlignment="1">
      <x:alignment horizontal="right" vertical="center"/>
    </x:xf>
    <x:xf numFmtId="165" fontId="34" fillId="115" borderId="15" xfId="0" applyAlignment="1">
      <x:alignment horizontal="right" vertical="center"/>
    </x:xf>
    <x:xf numFmtId="0" fontId="34" fillId="115" borderId="0" xfId="0" applyAlignment="1">
      <x:alignment vertical="center"/>
    </x:xf>
    <x:xf numFmtId="0" fontId="34" fillId="115" borderId="15" xfId="0" applyAlignment="1">
      <x:alignment horizontal="center" vertical="center"/>
    </x:xf>
    <x:xf numFmtId="0" fontId="34" fillId="115" borderId="15" xfId="0" applyAlignment="1">
      <x:alignment horizontal="left" vertical="center" wrapText="1"/>
    </x:xf>
    <x:xf numFmtId="0" fontId="34" fillId="115" borderId="15" xfId="0" applyAlignment="1">
      <x:alignment vertical="center"/>
    </x:xf>
    <x:xf numFmtId="0" fontId="34" fillId="115" borderId="15" xfId="0" applyAlignment="1">
      <x:alignment horizontal="right" vertical="center"/>
    </x:xf>
    <x:xf numFmtId="0" fontId="34" fillId="115" borderId="15" xfId="0" applyAlignment="1">
      <x:alignment horizontal="right" vertical="center" wrapText="1"/>
    </x:xf>
    <x:xf numFmtId="0" fontId="35" fillId="115" borderId="15" xfId="0" applyAlignment="1">
      <x:alignment horizontal="right" vertical="center" wrapText="1"/>
    </x:xf>
    <x:xf numFmtId="0" fontId="35" fillId="115" borderId="15" xfId="0" applyAlignment="1">
      <x:alignment horizontal="left" vertical="center" wrapText="1"/>
    </x:xf>
    <x:xf numFmtId="0" fontId="11" fillId="116" borderId="15" xfId="0" applyAlignment="1">
      <x:alignment horizontal="left" vertical="center"/>
    </x:xf>
    <x:xf numFmtId="3" fontId="11" fillId="116" borderId="15" xfId="0" applyAlignment="1">
      <x:alignment horizontal="right" vertical="center"/>
    </x:xf>
    <x:xf numFmtId="168" fontId="11" fillId="116" borderId="15" xfId="0" applyAlignment="1">
      <x:alignment horizontal="right" vertical="center"/>
    </x:xf>
    <x:xf numFmtId="1" fontId="11" fillId="116" borderId="15" xfId="0" applyAlignment="1">
      <x:alignment horizontal="right" vertical="center"/>
    </x:xf>
    <x:xf numFmtId="164" fontId="11" fillId="116" borderId="15" xfId="0" applyAlignment="1">
      <x:alignment horizontal="right" vertical="center"/>
    </x:xf>
    <x:xf numFmtId="166" fontId="11" fillId="116" borderId="15" xfId="0" applyAlignment="1">
      <x:alignment horizontal="right" vertical="center"/>
    </x:xf>
    <x:xf numFmtId="165" fontId="11" fillId="116" borderId="15" xfId="0" applyAlignment="1">
      <x:alignment horizontal="right" vertical="center"/>
    </x:xf>
    <x:xf numFmtId="0" fontId="11" fillId="116" borderId="0" xfId="0" applyAlignment="1">
      <x:alignment vertical="center"/>
    </x:xf>
    <x:xf numFmtId="0" fontId="12" fillId="116" borderId="15" xfId="0" applyAlignment="1">
      <x:alignment horizontal="center" vertical="center"/>
    </x:xf>
    <x:xf numFmtId="0" fontId="11" fillId="116" borderId="15" xfId="0" applyAlignment="1">
      <x:alignment horizontal="left" vertical="center" wrapText="1"/>
    </x:xf>
    <x:xf numFmtId="0" fontId="34" fillId="116" borderId="15" xfId="0" applyAlignment="1">
      <x:alignment horizontal="left" vertical="center"/>
    </x:xf>
    <x:xf numFmtId="3" fontId="34" fillId="116" borderId="15" xfId="0" applyAlignment="1">
      <x:alignment horizontal="right" vertical="center"/>
    </x:xf>
    <x:xf numFmtId="168" fontId="34" fillId="116" borderId="15" xfId="0" applyAlignment="1">
      <x:alignment horizontal="right" vertical="center"/>
    </x:xf>
    <x:xf numFmtId="1" fontId="34" fillId="116" borderId="15" xfId="0" applyAlignment="1">
      <x:alignment horizontal="right" vertical="center"/>
    </x:xf>
    <x:xf numFmtId="164" fontId="34" fillId="116" borderId="15" xfId="0" applyAlignment="1">
      <x:alignment horizontal="right" vertical="center"/>
    </x:xf>
    <x:xf numFmtId="166" fontId="34" fillId="116" borderId="15" xfId="0" applyAlignment="1">
      <x:alignment horizontal="right" vertical="center"/>
    </x:xf>
    <x:xf numFmtId="165" fontId="34" fillId="116" borderId="15" xfId="0" applyAlignment="1">
      <x:alignment horizontal="right" vertical="center"/>
    </x:xf>
    <x:xf numFmtId="0" fontId="34" fillId="116" borderId="0" xfId="0" applyAlignment="1">
      <x:alignment vertical="center"/>
    </x:xf>
    <x:xf numFmtId="0" fontId="34" fillId="116" borderId="15" xfId="0" applyAlignment="1">
      <x:alignment horizontal="center" vertical="center"/>
    </x:xf>
    <x:xf numFmtId="0" fontId="34" fillId="116" borderId="15" xfId="0" applyAlignment="1">
      <x:alignment horizontal="left" vertical="center" wrapText="1"/>
    </x:xf>
    <x:xf numFmtId="0" fontId="34" fillId="116" borderId="15" xfId="0" applyAlignment="1">
      <x:alignment vertical="center"/>
    </x:xf>
    <x:xf numFmtId="0" fontId="34" fillId="116" borderId="15" xfId="0" applyAlignment="1">
      <x:alignment horizontal="right" vertical="center"/>
    </x:xf>
    <x:xf numFmtId="0" fontId="34" fillId="116" borderId="15" xfId="0" applyAlignment="1">
      <x:alignment horizontal="right" vertical="center" wrapText="1"/>
    </x:xf>
    <x:xf numFmtId="0" fontId="35" fillId="116" borderId="15" xfId="0" applyAlignment="1">
      <x:alignment horizontal="right" vertical="center" wrapText="1"/>
    </x:xf>
    <x:xf numFmtId="0" fontId="35" fillId="116" borderId="15" xfId="0" applyAlignment="1">
      <x:alignment horizontal="left" vertical="center" wrapText="1"/>
    </x:xf>
    <x:xf numFmtId="0" fontId="11" fillId="117" borderId="15" xfId="0" applyAlignment="1">
      <x:alignment horizontal="left" vertical="center"/>
    </x:xf>
    <x:xf numFmtId="3" fontId="11" fillId="117" borderId="15" xfId="0" applyAlignment="1">
      <x:alignment horizontal="right" vertical="center"/>
    </x:xf>
    <x:xf numFmtId="168" fontId="11" fillId="117" borderId="15" xfId="0" applyAlignment="1">
      <x:alignment horizontal="right" vertical="center"/>
    </x:xf>
    <x:xf numFmtId="1" fontId="11" fillId="117" borderId="15" xfId="0" applyAlignment="1">
      <x:alignment horizontal="right" vertical="center"/>
    </x:xf>
    <x:xf numFmtId="164" fontId="11" fillId="117" borderId="15" xfId="0" applyAlignment="1">
      <x:alignment horizontal="right" vertical="center"/>
    </x:xf>
    <x:xf numFmtId="166" fontId="11" fillId="117" borderId="15" xfId="0" applyAlignment="1">
      <x:alignment horizontal="right" vertical="center"/>
    </x:xf>
    <x:xf numFmtId="165" fontId="11" fillId="117" borderId="15" xfId="0" applyAlignment="1">
      <x:alignment horizontal="right" vertical="center"/>
    </x:xf>
    <x:xf numFmtId="0" fontId="11" fillId="117" borderId="0" xfId="0" applyAlignment="1">
      <x:alignment vertical="center"/>
    </x:xf>
    <x:xf numFmtId="0" fontId="12" fillId="117" borderId="15" xfId="0" applyAlignment="1">
      <x:alignment horizontal="center" vertical="center"/>
    </x:xf>
    <x:xf numFmtId="0" fontId="11" fillId="117" borderId="15" xfId="0" applyAlignment="1">
      <x:alignment horizontal="left" vertical="center" wrapText="1"/>
    </x:xf>
    <x:xf numFmtId="0" fontId="34" fillId="117" borderId="15" xfId="0" applyAlignment="1">
      <x:alignment horizontal="left" vertical="center"/>
    </x:xf>
    <x:xf numFmtId="3" fontId="34" fillId="117" borderId="15" xfId="0" applyAlignment="1">
      <x:alignment horizontal="right" vertical="center"/>
    </x:xf>
    <x:xf numFmtId="168" fontId="34" fillId="117" borderId="15" xfId="0" applyAlignment="1">
      <x:alignment horizontal="right" vertical="center"/>
    </x:xf>
    <x:xf numFmtId="1" fontId="34" fillId="117" borderId="15" xfId="0" applyAlignment="1">
      <x:alignment horizontal="right" vertical="center"/>
    </x:xf>
    <x:xf numFmtId="164" fontId="34" fillId="117" borderId="15" xfId="0" applyAlignment="1">
      <x:alignment horizontal="right" vertical="center"/>
    </x:xf>
    <x:xf numFmtId="166" fontId="34" fillId="117" borderId="15" xfId="0" applyAlignment="1">
      <x:alignment horizontal="right" vertical="center"/>
    </x:xf>
    <x:xf numFmtId="165" fontId="34" fillId="117" borderId="15" xfId="0" applyAlignment="1">
      <x:alignment horizontal="right" vertical="center"/>
    </x:xf>
    <x:xf numFmtId="0" fontId="34" fillId="117" borderId="0" xfId="0" applyAlignment="1">
      <x:alignment vertical="center"/>
    </x:xf>
    <x:xf numFmtId="0" fontId="34" fillId="117" borderId="15" xfId="0" applyAlignment="1">
      <x:alignment horizontal="center" vertical="center"/>
    </x:xf>
    <x:xf numFmtId="0" fontId="34" fillId="117" borderId="15" xfId="0" applyAlignment="1">
      <x:alignment horizontal="left" vertical="center" wrapText="1"/>
    </x:xf>
    <x:xf numFmtId="0" fontId="34" fillId="117" borderId="15" xfId="0" applyAlignment="1">
      <x:alignment vertical="center"/>
    </x:xf>
    <x:xf numFmtId="0" fontId="34" fillId="117" borderId="15" xfId="0" applyAlignment="1">
      <x:alignment horizontal="right" vertical="center"/>
    </x:xf>
    <x:xf numFmtId="0" fontId="34" fillId="117" borderId="15" xfId="0" applyAlignment="1">
      <x:alignment horizontal="right" vertical="center" wrapText="1"/>
    </x:xf>
    <x:xf numFmtId="0" fontId="35" fillId="117" borderId="15" xfId="0" applyAlignment="1">
      <x:alignment horizontal="right" vertical="center" wrapText="1"/>
    </x:xf>
    <x:xf numFmtId="0" fontId="35" fillId="117" borderId="15" xfId="0" applyAlignment="1">
      <x:alignment horizontal="left" vertical="center" wrapText="1"/>
    </x:xf>
    <x:xf numFmtId="0" fontId="19" fillId="114" borderId="15" xfId="0" applyAlignment="1">
      <x:alignment horizontal="center" vertical="center"/>
    </x:xf>
    <x:xf numFmtId="0" fontId="20" fillId="114" borderId="15" xfId="0" applyAlignment="1">
      <x:alignment horizontal="center" vertical="center"/>
    </x:xf>
    <x:xf numFmtId="0" fontId="19" fillId="115" borderId="15" xfId="0" applyAlignment="1">
      <x:alignment horizontal="center" vertical="center"/>
    </x:xf>
    <x:xf numFmtId="0" fontId="20" fillId="115" borderId="15" xfId="0" applyAlignment="1">
      <x:alignment horizontal="center" vertical="center"/>
    </x:xf>
    <x:xf numFmtId="0" fontId="19" fillId="116" borderId="15" xfId="0" applyAlignment="1">
      <x:alignment horizontal="center" vertical="center"/>
    </x:xf>
    <x:xf numFmtId="0" fontId="20" fillId="116" borderId="15" xfId="0" applyAlignment="1">
      <x:alignment horizontal="center" vertical="center"/>
    </x:xf>
    <x:xf numFmtId="0" fontId="21" fillId="117" borderId="15" xfId="0" applyAlignment="1">
      <x:alignment horizontal="center" vertical="center"/>
    </x:xf>
    <x:xf numFmtId="0" fontId="19" fillId="117" borderId="15" xfId="0" applyAlignment="1">
      <x:alignment horizontal="center" vertical="center"/>
    </x:xf>
    <x:xf numFmtId="0" fontId="20" fillId="117" borderId="15" xfId="0" applyAlignment="1">
      <x:alignment horizontal="center" vertical="center"/>
    </x:xf>
    <x:xf numFmtId="0" fontId="21" fillId="114" borderId="15" xfId="0" applyAlignment="1">
      <x:alignment horizontal="center" vertical="center"/>
    </x:xf>
    <x:xf numFmtId="0" fontId="21" fillId="115" borderId="15" xfId="0" applyAlignment="1">
      <x:alignment horizontal="center" vertical="center"/>
    </x:xf>
    <x:xf numFmtId="0" fontId="21" fillId="116" borderId="15" xfId="0" applyAlignment="1">
      <x:alignment horizontal="center" vertical="center"/>
    </x:xf>
    <x:xf numFmtId="0" fontId="34" fillId="118" borderId="15" xfId="0" applyAlignment="1">
      <x:alignment horizontal="left" vertical="center"/>
    </x:xf>
    <x:xf numFmtId="3" fontId="34" fillId="118" borderId="15" xfId="0" applyAlignment="1">
      <x:alignment horizontal="right" vertical="center"/>
    </x:xf>
    <x:xf numFmtId="168" fontId="34" fillId="118" borderId="15" xfId="0" applyAlignment="1">
      <x:alignment horizontal="right" vertical="center"/>
    </x:xf>
    <x:xf numFmtId="1" fontId="34" fillId="118" borderId="15" xfId="0" applyAlignment="1">
      <x:alignment horizontal="right" vertical="center"/>
    </x:xf>
    <x:xf numFmtId="164" fontId="34" fillId="118" borderId="15" xfId="0" applyAlignment="1">
      <x:alignment horizontal="right" vertical="center"/>
    </x:xf>
    <x:xf numFmtId="166" fontId="34" fillId="118" borderId="15" xfId="0" applyAlignment="1">
      <x:alignment horizontal="right" vertical="center"/>
    </x:xf>
    <x:xf numFmtId="165" fontId="34" fillId="118" borderId="15" xfId="0" applyAlignment="1">
      <x:alignment horizontal="right" vertical="center"/>
    </x:xf>
    <x:xf numFmtId="0" fontId="34" fillId="118" borderId="15" xfId="0" applyAlignment="1">
      <x:alignment horizontal="right" vertical="center"/>
    </x:xf>
    <x:xf numFmtId="0" fontId="19" fillId="118" borderId="15" xfId="0" applyAlignment="1">
      <x:alignment horizontal="center" vertical="center"/>
    </x:xf>
    <x:xf numFmtId="0" fontId="35" fillId="118" borderId="15" xfId="0" applyAlignment="1">
      <x:alignment horizontal="left" vertical="center" wrapText="1"/>
    </x:xf>
    <x:xf numFmtId="167" fontId="4" fillId="111" borderId="15" xfId="0" applyAlignment="1">
      <x:alignment horizontal="left" vertical="center"/>
    </x:xf>
    <x:xf numFmtId="167" fontId="4" fillId="113" borderId="15" xfId="0" applyAlignment="1">
      <x:alignment horizontal="left" vertical="center"/>
    </x:xf>
    <x:xf numFmtId="167" fontId="34" fillId="114" borderId="15" xfId="0" applyAlignment="1">
      <x:alignment horizontal="right" vertical="center"/>
    </x:xf>
    <x:xf numFmtId="167" fontId="34" fillId="118" borderId="15" xfId="0" applyAlignment="1">
      <x:alignment horizontal="right" vertical="center"/>
    </x:xf>
    <x:xf numFmtId="167" fontId="34" fillId="115" borderId="15" xfId="0" applyAlignment="1">
      <x:alignment horizontal="right" vertical="center"/>
    </x:xf>
    <x:xf numFmtId="167" fontId="34" fillId="116" borderId="15" xfId="0" applyAlignment="1">
      <x:alignment horizontal="right" vertical="center"/>
    </x:xf>
    <x:xf numFmtId="167" fontId="34" fillId="117" borderId="15" xfId="0" applyAlignment="1">
      <x:alignment horizontal="right" vertical="center"/>
    </x:xf>
    <x:xf numFmtId="0" fontId="12" fillId="119" borderId="3" xfId="0" applyAlignment="1">
      <x:alignment horizontal="left" vertical="center"/>
    </x:xf>
    <x:xf numFmtId="0" fontId="2" fillId="119" borderId="3" xfId="0" applyAlignment="1">
      <x:alignment horizontal="left" vertical="center"/>
    </x:xf>
    <x:xf numFmtId="0" fontId="15" fillId="119" borderId="2" xfId="0" applyAlignment="1">
      <x:alignment horizontal="left" vertical="center"/>
    </x:xf>
    <x:xf numFmtId="0" fontId="3" fillId="119" borderId="2" xfId="0" applyAlignment="1">
      <x:alignment horizontal="left" vertical="center"/>
    </x:xf>
    <x:xf numFmtId="0" fontId="12" fillId="120" borderId="15" xfId="0" applyAlignment="1">
      <x:alignment horizontal="center" vertical="center" wrapText="1"/>
    </x:xf>
    <x:xf numFmtId="0" fontId="4" fillId="120" borderId="15" xfId="0" applyAlignment="1">
      <x:alignment horizontal="center" vertical="center" wrapText="1"/>
    </x:xf>
    <x:xf numFmtId="0" fontId="12" fillId="121" borderId="15" xfId="0" applyAlignment="1">
      <x:alignment horizontal="center" vertical="center" wrapText="1"/>
    </x:xf>
    <x:xf numFmtId="0" fontId="16" fillId="121" borderId="15" xfId="0" applyAlignment="1">
      <x:alignment horizontal="center" vertical="center" wrapText="1"/>
    </x:xf>
    <x:xf numFmtId="0" fontId="12" fillId="120" borderId="15" xfId="0" applyAlignment="1">
      <x:alignment horizontal="left" vertical="center"/>
    </x:xf>
    <x:xf numFmtId="3" fontId="12" fillId="120" borderId="15" xfId="0" applyAlignment="1">
      <x:alignment horizontal="left" vertical="center"/>
    </x:xf>
    <x:xf numFmtId="168" fontId="12" fillId="120" borderId="15" xfId="0" applyAlignment="1">
      <x:alignment horizontal="left" vertical="center"/>
    </x:xf>
    <x:xf numFmtId="1" fontId="12" fillId="120" borderId="15" xfId="0" applyAlignment="1">
      <x:alignment horizontal="left" vertical="center"/>
    </x:xf>
    <x:xf numFmtId="164" fontId="12" fillId="120" borderId="15" xfId="0" applyAlignment="1">
      <x:alignment horizontal="left" vertical="center"/>
    </x:xf>
    <x:xf numFmtId="166" fontId="12" fillId="120" borderId="15" xfId="0" applyAlignment="1">
      <x:alignment horizontal="left" vertical="center"/>
    </x:xf>
    <x:xf numFmtId="165" fontId="12" fillId="120" borderId="15" xfId="0" applyAlignment="1">
      <x:alignment horizontal="left" vertical="center"/>
    </x:xf>
    <x:xf numFmtId="0" fontId="11" fillId="120" borderId="0" xfId="0" applyAlignment="1">
      <x:alignment vertical="center"/>
    </x:xf>
    <x:xf numFmtId="0" fontId="4" fillId="120" borderId="15" xfId="0" applyAlignment="1">
      <x:alignment horizontal="left" vertical="center"/>
    </x:xf>
    <x:xf numFmtId="3" fontId="4" fillId="120" borderId="15" xfId="0" applyAlignment="1">
      <x:alignment horizontal="left" vertical="center"/>
    </x:xf>
    <x:xf numFmtId="168" fontId="4" fillId="120" borderId="15" xfId="0" applyAlignment="1">
      <x:alignment horizontal="left" vertical="center"/>
    </x:xf>
    <x:xf numFmtId="1" fontId="4" fillId="120" borderId="15" xfId="0" applyAlignment="1">
      <x:alignment horizontal="left" vertical="center"/>
    </x:xf>
    <x:xf numFmtId="164" fontId="4" fillId="120" borderId="15" xfId="0" applyAlignment="1">
      <x:alignment horizontal="left" vertical="center"/>
    </x:xf>
    <x:xf numFmtId="166" fontId="4" fillId="120" borderId="15" xfId="0" applyAlignment="1">
      <x:alignment horizontal="left" vertical="center"/>
    </x:xf>
    <x:xf numFmtId="165" fontId="4" fillId="120" borderId="15" xfId="0" applyAlignment="1">
      <x:alignment horizontal="left" vertical="center"/>
    </x:xf>
    <x:xf numFmtId="0" fontId="4" fillId="120" borderId="0" xfId="0" applyAlignment="1">
      <x:alignment vertical="center"/>
    </x:xf>
    <x:xf numFmtId="0" fontId="4" fillId="120" borderId="15" xfId="0" applyAlignment="1">
      <x:alignment vertical="center"/>
    </x:xf>
    <x:xf numFmtId="0" fontId="12" fillId="122" borderId="15" xfId="0" applyAlignment="1">
      <x:alignment horizontal="left" vertical="center"/>
    </x:xf>
    <x:xf numFmtId="3" fontId="12" fillId="122" borderId="15" xfId="0" applyAlignment="1">
      <x:alignment horizontal="left" vertical="center"/>
    </x:xf>
    <x:xf numFmtId="168" fontId="12" fillId="122" borderId="15" xfId="0" applyAlignment="1">
      <x:alignment horizontal="left" vertical="center"/>
    </x:xf>
    <x:xf numFmtId="1" fontId="12" fillId="122" borderId="15" xfId="0" applyAlignment="1">
      <x:alignment horizontal="left" vertical="center"/>
    </x:xf>
    <x:xf numFmtId="164" fontId="12" fillId="122" borderId="15" xfId="0" applyAlignment="1">
      <x:alignment horizontal="left" vertical="center"/>
    </x:xf>
    <x:xf numFmtId="166" fontId="12" fillId="122" borderId="15" xfId="0" applyAlignment="1">
      <x:alignment horizontal="left" vertical="center"/>
    </x:xf>
    <x:xf numFmtId="165" fontId="12" fillId="122" borderId="15" xfId="0" applyAlignment="1">
      <x:alignment horizontal="left" vertical="center"/>
    </x:xf>
    <x:xf numFmtId="0" fontId="11" fillId="122" borderId="0" xfId="0" applyAlignment="1">
      <x:alignment vertical="center"/>
    </x:xf>
    <x:xf numFmtId="0" fontId="4" fillId="122" borderId="15" xfId="0" applyAlignment="1">
      <x:alignment horizontal="left" vertical="center"/>
    </x:xf>
    <x:xf numFmtId="3" fontId="4" fillId="122" borderId="15" xfId="0" applyAlignment="1">
      <x:alignment horizontal="left" vertical="center"/>
    </x:xf>
    <x:xf numFmtId="168" fontId="4" fillId="122" borderId="15" xfId="0" applyAlignment="1">
      <x:alignment horizontal="left" vertical="center"/>
    </x:xf>
    <x:xf numFmtId="1" fontId="4" fillId="122" borderId="15" xfId="0" applyAlignment="1">
      <x:alignment horizontal="left" vertical="center"/>
    </x:xf>
    <x:xf numFmtId="164" fontId="4" fillId="122" borderId="15" xfId="0" applyAlignment="1">
      <x:alignment horizontal="left" vertical="center"/>
    </x:xf>
    <x:xf numFmtId="166" fontId="4" fillId="122" borderId="15" xfId="0" applyAlignment="1">
      <x:alignment horizontal="left" vertical="center"/>
    </x:xf>
    <x:xf numFmtId="165" fontId="4" fillId="122" borderId="15" xfId="0" applyAlignment="1">
      <x:alignment horizontal="left" vertical="center"/>
    </x:xf>
    <x:xf numFmtId="0" fontId="4" fillId="122" borderId="0" xfId="0" applyAlignment="1">
      <x:alignment vertical="center"/>
    </x:xf>
    <x:xf numFmtId="0" fontId="4" fillId="122" borderId="15" xfId="0" applyAlignment="1">
      <x:alignment vertical="center"/>
    </x:xf>
    <x:xf numFmtId="0" fontId="11" fillId="123" borderId="15" xfId="0" applyAlignment="1">
      <x:alignment horizontal="left" vertical="center"/>
    </x:xf>
    <x:xf numFmtId="3" fontId="11" fillId="123" borderId="15" xfId="0" applyAlignment="1">
      <x:alignment horizontal="right" vertical="center"/>
    </x:xf>
    <x:xf numFmtId="168" fontId="11" fillId="123" borderId="15" xfId="0" applyAlignment="1">
      <x:alignment horizontal="right" vertical="center"/>
    </x:xf>
    <x:xf numFmtId="1" fontId="11" fillId="123" borderId="15" xfId="0" applyAlignment="1">
      <x:alignment horizontal="right" vertical="center"/>
    </x:xf>
    <x:xf numFmtId="164" fontId="11" fillId="123" borderId="15" xfId="0" applyAlignment="1">
      <x:alignment horizontal="right" vertical="center"/>
    </x:xf>
    <x:xf numFmtId="166" fontId="11" fillId="123" borderId="15" xfId="0" applyAlignment="1">
      <x:alignment horizontal="right" vertical="center"/>
    </x:xf>
    <x:xf numFmtId="165" fontId="11" fillId="123" borderId="15" xfId="0" applyAlignment="1">
      <x:alignment horizontal="right" vertical="center"/>
    </x:xf>
    <x:xf numFmtId="0" fontId="11" fillId="123" borderId="0" xfId="0" applyAlignment="1">
      <x:alignment vertical="center"/>
    </x:xf>
    <x:xf numFmtId="0" fontId="12" fillId="123" borderId="15" xfId="0" applyAlignment="1">
      <x:alignment horizontal="center" vertical="center"/>
    </x:xf>
    <x:xf numFmtId="0" fontId="11" fillId="123" borderId="15" xfId="0" applyAlignment="1">
      <x:alignment horizontal="left" vertical="center" wrapText="1"/>
    </x:xf>
    <x:xf numFmtId="0" fontId="36" fillId="123" borderId="15" xfId="0" applyAlignment="1">
      <x:alignment horizontal="left" vertical="center"/>
    </x:xf>
    <x:xf numFmtId="3" fontId="36" fillId="123" borderId="15" xfId="0" applyAlignment="1">
      <x:alignment horizontal="right" vertical="center"/>
    </x:xf>
    <x:xf numFmtId="168" fontId="36" fillId="123" borderId="15" xfId="0" applyAlignment="1">
      <x:alignment horizontal="right" vertical="center"/>
    </x:xf>
    <x:xf numFmtId="1" fontId="36" fillId="123" borderId="15" xfId="0" applyAlignment="1">
      <x:alignment horizontal="right" vertical="center"/>
    </x:xf>
    <x:xf numFmtId="164" fontId="36" fillId="123" borderId="15" xfId="0" applyAlignment="1">
      <x:alignment horizontal="right" vertical="center"/>
    </x:xf>
    <x:xf numFmtId="166" fontId="36" fillId="123" borderId="15" xfId="0" applyAlignment="1">
      <x:alignment horizontal="right" vertical="center"/>
    </x:xf>
    <x:xf numFmtId="165" fontId="36" fillId="123" borderId="15" xfId="0" applyAlignment="1">
      <x:alignment horizontal="right" vertical="center"/>
    </x:xf>
    <x:xf numFmtId="0" fontId="36" fillId="123" borderId="0" xfId="0" applyAlignment="1">
      <x:alignment vertical="center"/>
    </x:xf>
    <x:xf numFmtId="0" fontId="36" fillId="123" borderId="15" xfId="0" applyAlignment="1">
      <x:alignment horizontal="center" vertical="center"/>
    </x:xf>
    <x:xf numFmtId="0" fontId="36" fillId="123" borderId="15" xfId="0" applyAlignment="1">
      <x:alignment horizontal="left" vertical="center" wrapText="1"/>
    </x:xf>
    <x:xf numFmtId="0" fontId="36" fillId="123" borderId="15" xfId="0" applyAlignment="1">
      <x:alignment vertical="center"/>
    </x:xf>
    <x:xf numFmtId="0" fontId="36" fillId="123" borderId="15" xfId="0" applyAlignment="1">
      <x:alignment horizontal="right" vertical="center"/>
    </x:xf>
    <x:xf numFmtId="0" fontId="36" fillId="123" borderId="15" xfId="0" applyAlignment="1">
      <x:alignment horizontal="right" vertical="center" wrapText="1"/>
    </x:xf>
    <x:xf numFmtId="0" fontId="37" fillId="123" borderId="15" xfId="0" applyAlignment="1">
      <x:alignment horizontal="right" vertical="center" wrapText="1"/>
    </x:xf>
    <x:xf numFmtId="0" fontId="37" fillId="123" borderId="15" xfId="0" applyAlignment="1">
      <x:alignment horizontal="left" vertical="center" wrapText="1"/>
    </x:xf>
    <x:xf numFmtId="0" fontId="11" fillId="124" borderId="15" xfId="0" applyAlignment="1">
      <x:alignment horizontal="left" vertical="center"/>
    </x:xf>
    <x:xf numFmtId="3" fontId="11" fillId="124" borderId="15" xfId="0" applyAlignment="1">
      <x:alignment horizontal="right" vertical="center"/>
    </x:xf>
    <x:xf numFmtId="168" fontId="11" fillId="124" borderId="15" xfId="0" applyAlignment="1">
      <x:alignment horizontal="right" vertical="center"/>
    </x:xf>
    <x:xf numFmtId="1" fontId="11" fillId="124" borderId="15" xfId="0" applyAlignment="1">
      <x:alignment horizontal="right" vertical="center"/>
    </x:xf>
    <x:xf numFmtId="164" fontId="11" fillId="124" borderId="15" xfId="0" applyAlignment="1">
      <x:alignment horizontal="right" vertical="center"/>
    </x:xf>
    <x:xf numFmtId="166" fontId="11" fillId="124" borderId="15" xfId="0" applyAlignment="1">
      <x:alignment horizontal="right" vertical="center"/>
    </x:xf>
    <x:xf numFmtId="165" fontId="11" fillId="124" borderId="15" xfId="0" applyAlignment="1">
      <x:alignment horizontal="right" vertical="center"/>
    </x:xf>
    <x:xf numFmtId="0" fontId="11" fillId="124" borderId="0" xfId="0" applyAlignment="1">
      <x:alignment vertical="center"/>
    </x:xf>
    <x:xf numFmtId="0" fontId="12" fillId="124" borderId="15" xfId="0" applyAlignment="1">
      <x:alignment horizontal="center" vertical="center"/>
    </x:xf>
    <x:xf numFmtId="0" fontId="11" fillId="124" borderId="15" xfId="0" applyAlignment="1">
      <x:alignment horizontal="left" vertical="center" wrapText="1"/>
    </x:xf>
    <x:xf numFmtId="0" fontId="36" fillId="124" borderId="15" xfId="0" applyAlignment="1">
      <x:alignment horizontal="left" vertical="center"/>
    </x:xf>
    <x:xf numFmtId="3" fontId="36" fillId="124" borderId="15" xfId="0" applyAlignment="1">
      <x:alignment horizontal="right" vertical="center"/>
    </x:xf>
    <x:xf numFmtId="168" fontId="36" fillId="124" borderId="15" xfId="0" applyAlignment="1">
      <x:alignment horizontal="right" vertical="center"/>
    </x:xf>
    <x:xf numFmtId="1" fontId="36" fillId="124" borderId="15" xfId="0" applyAlignment="1">
      <x:alignment horizontal="right" vertical="center"/>
    </x:xf>
    <x:xf numFmtId="164" fontId="36" fillId="124" borderId="15" xfId="0" applyAlignment="1">
      <x:alignment horizontal="right" vertical="center"/>
    </x:xf>
    <x:xf numFmtId="166" fontId="36" fillId="124" borderId="15" xfId="0" applyAlignment="1">
      <x:alignment horizontal="right" vertical="center"/>
    </x:xf>
    <x:xf numFmtId="165" fontId="36" fillId="124" borderId="15" xfId="0" applyAlignment="1">
      <x:alignment horizontal="right" vertical="center"/>
    </x:xf>
    <x:xf numFmtId="0" fontId="36" fillId="124" borderId="0" xfId="0" applyAlignment="1">
      <x:alignment vertical="center"/>
    </x:xf>
    <x:xf numFmtId="0" fontId="36" fillId="124" borderId="15" xfId="0" applyAlignment="1">
      <x:alignment horizontal="center" vertical="center"/>
    </x:xf>
    <x:xf numFmtId="0" fontId="36" fillId="124" borderId="15" xfId="0" applyAlignment="1">
      <x:alignment horizontal="left" vertical="center" wrapText="1"/>
    </x:xf>
    <x:xf numFmtId="0" fontId="36" fillId="124" borderId="15" xfId="0" applyAlignment="1">
      <x:alignment vertical="center"/>
    </x:xf>
    <x:xf numFmtId="0" fontId="36" fillId="124" borderId="15" xfId="0" applyAlignment="1">
      <x:alignment horizontal="right" vertical="center"/>
    </x:xf>
    <x:xf numFmtId="0" fontId="36" fillId="124" borderId="15" xfId="0" applyAlignment="1">
      <x:alignment horizontal="right" vertical="center" wrapText="1"/>
    </x:xf>
    <x:xf numFmtId="0" fontId="37" fillId="124" borderId="15" xfId="0" applyAlignment="1">
      <x:alignment horizontal="right" vertical="center" wrapText="1"/>
    </x:xf>
    <x:xf numFmtId="0" fontId="37" fillId="124" borderId="15" xfId="0" applyAlignment="1">
      <x:alignment horizontal="left" vertical="center" wrapText="1"/>
    </x:xf>
    <x:xf numFmtId="0" fontId="11" fillId="125" borderId="15" xfId="0" applyAlignment="1">
      <x:alignment horizontal="left" vertical="center"/>
    </x:xf>
    <x:xf numFmtId="3" fontId="11" fillId="125" borderId="15" xfId="0" applyAlignment="1">
      <x:alignment horizontal="right" vertical="center"/>
    </x:xf>
    <x:xf numFmtId="168" fontId="11" fillId="125" borderId="15" xfId="0" applyAlignment="1">
      <x:alignment horizontal="right" vertical="center"/>
    </x:xf>
    <x:xf numFmtId="1" fontId="11" fillId="125" borderId="15" xfId="0" applyAlignment="1">
      <x:alignment horizontal="right" vertical="center"/>
    </x:xf>
    <x:xf numFmtId="164" fontId="11" fillId="125" borderId="15" xfId="0" applyAlignment="1">
      <x:alignment horizontal="right" vertical="center"/>
    </x:xf>
    <x:xf numFmtId="166" fontId="11" fillId="125" borderId="15" xfId="0" applyAlignment="1">
      <x:alignment horizontal="right" vertical="center"/>
    </x:xf>
    <x:xf numFmtId="165" fontId="11" fillId="125" borderId="15" xfId="0" applyAlignment="1">
      <x:alignment horizontal="right" vertical="center"/>
    </x:xf>
    <x:xf numFmtId="0" fontId="11" fillId="125" borderId="0" xfId="0" applyAlignment="1">
      <x:alignment vertical="center"/>
    </x:xf>
    <x:xf numFmtId="0" fontId="12" fillId="125" borderId="15" xfId="0" applyAlignment="1">
      <x:alignment horizontal="center" vertical="center"/>
    </x:xf>
    <x:xf numFmtId="0" fontId="11" fillId="125" borderId="15" xfId="0" applyAlignment="1">
      <x:alignment horizontal="left" vertical="center" wrapText="1"/>
    </x:xf>
    <x:xf numFmtId="0" fontId="36" fillId="125" borderId="15" xfId="0" applyAlignment="1">
      <x:alignment horizontal="left" vertical="center"/>
    </x:xf>
    <x:xf numFmtId="3" fontId="36" fillId="125" borderId="15" xfId="0" applyAlignment="1">
      <x:alignment horizontal="right" vertical="center"/>
    </x:xf>
    <x:xf numFmtId="168" fontId="36" fillId="125" borderId="15" xfId="0" applyAlignment="1">
      <x:alignment horizontal="right" vertical="center"/>
    </x:xf>
    <x:xf numFmtId="1" fontId="36" fillId="125" borderId="15" xfId="0" applyAlignment="1">
      <x:alignment horizontal="right" vertical="center"/>
    </x:xf>
    <x:xf numFmtId="164" fontId="36" fillId="125" borderId="15" xfId="0" applyAlignment="1">
      <x:alignment horizontal="right" vertical="center"/>
    </x:xf>
    <x:xf numFmtId="166" fontId="36" fillId="125" borderId="15" xfId="0" applyAlignment="1">
      <x:alignment horizontal="right" vertical="center"/>
    </x:xf>
    <x:xf numFmtId="165" fontId="36" fillId="125" borderId="15" xfId="0" applyAlignment="1">
      <x:alignment horizontal="right" vertical="center"/>
    </x:xf>
    <x:xf numFmtId="0" fontId="36" fillId="125" borderId="0" xfId="0" applyAlignment="1">
      <x:alignment vertical="center"/>
    </x:xf>
    <x:xf numFmtId="0" fontId="36" fillId="125" borderId="15" xfId="0" applyAlignment="1">
      <x:alignment horizontal="center" vertical="center"/>
    </x:xf>
    <x:xf numFmtId="0" fontId="36" fillId="125" borderId="15" xfId="0" applyAlignment="1">
      <x:alignment horizontal="left" vertical="center" wrapText="1"/>
    </x:xf>
    <x:xf numFmtId="0" fontId="36" fillId="125" borderId="15" xfId="0" applyAlignment="1">
      <x:alignment vertical="center"/>
    </x:xf>
    <x:xf numFmtId="0" fontId="36" fillId="125" borderId="15" xfId="0" applyAlignment="1">
      <x:alignment horizontal="right" vertical="center"/>
    </x:xf>
    <x:xf numFmtId="0" fontId="36" fillId="125" borderId="15" xfId="0" applyAlignment="1">
      <x:alignment horizontal="right" vertical="center" wrapText="1"/>
    </x:xf>
    <x:xf numFmtId="0" fontId="37" fillId="125" borderId="15" xfId="0" applyAlignment="1">
      <x:alignment horizontal="right" vertical="center" wrapText="1"/>
    </x:xf>
    <x:xf numFmtId="0" fontId="37" fillId="125" borderId="15" xfId="0" applyAlignment="1">
      <x:alignment horizontal="left" vertical="center" wrapText="1"/>
    </x:xf>
    <x:xf numFmtId="0" fontId="11" fillId="126" borderId="15" xfId="0" applyAlignment="1">
      <x:alignment horizontal="left" vertical="center"/>
    </x:xf>
    <x:xf numFmtId="3" fontId="11" fillId="126" borderId="15" xfId="0" applyAlignment="1">
      <x:alignment horizontal="right" vertical="center"/>
    </x:xf>
    <x:xf numFmtId="168" fontId="11" fillId="126" borderId="15" xfId="0" applyAlignment="1">
      <x:alignment horizontal="right" vertical="center"/>
    </x:xf>
    <x:xf numFmtId="1" fontId="11" fillId="126" borderId="15" xfId="0" applyAlignment="1">
      <x:alignment horizontal="right" vertical="center"/>
    </x:xf>
    <x:xf numFmtId="164" fontId="11" fillId="126" borderId="15" xfId="0" applyAlignment="1">
      <x:alignment horizontal="right" vertical="center"/>
    </x:xf>
    <x:xf numFmtId="166" fontId="11" fillId="126" borderId="15" xfId="0" applyAlignment="1">
      <x:alignment horizontal="right" vertical="center"/>
    </x:xf>
    <x:xf numFmtId="165" fontId="11" fillId="126" borderId="15" xfId="0" applyAlignment="1">
      <x:alignment horizontal="right" vertical="center"/>
    </x:xf>
    <x:xf numFmtId="0" fontId="11" fillId="126" borderId="0" xfId="0" applyAlignment="1">
      <x:alignment vertical="center"/>
    </x:xf>
    <x:xf numFmtId="0" fontId="12" fillId="126" borderId="15" xfId="0" applyAlignment="1">
      <x:alignment horizontal="center" vertical="center"/>
    </x:xf>
    <x:xf numFmtId="0" fontId="11" fillId="126" borderId="15" xfId="0" applyAlignment="1">
      <x:alignment horizontal="left" vertical="center" wrapText="1"/>
    </x:xf>
    <x:xf numFmtId="0" fontId="36" fillId="126" borderId="15" xfId="0" applyAlignment="1">
      <x:alignment horizontal="left" vertical="center"/>
    </x:xf>
    <x:xf numFmtId="3" fontId="36" fillId="126" borderId="15" xfId="0" applyAlignment="1">
      <x:alignment horizontal="right" vertical="center"/>
    </x:xf>
    <x:xf numFmtId="168" fontId="36" fillId="126" borderId="15" xfId="0" applyAlignment="1">
      <x:alignment horizontal="right" vertical="center"/>
    </x:xf>
    <x:xf numFmtId="1" fontId="36" fillId="126" borderId="15" xfId="0" applyAlignment="1">
      <x:alignment horizontal="right" vertical="center"/>
    </x:xf>
    <x:xf numFmtId="164" fontId="36" fillId="126" borderId="15" xfId="0" applyAlignment="1">
      <x:alignment horizontal="right" vertical="center"/>
    </x:xf>
    <x:xf numFmtId="166" fontId="36" fillId="126" borderId="15" xfId="0" applyAlignment="1">
      <x:alignment horizontal="right" vertical="center"/>
    </x:xf>
    <x:xf numFmtId="165" fontId="36" fillId="126" borderId="15" xfId="0" applyAlignment="1">
      <x:alignment horizontal="right" vertical="center"/>
    </x:xf>
    <x:xf numFmtId="0" fontId="36" fillId="126" borderId="0" xfId="0" applyAlignment="1">
      <x:alignment vertical="center"/>
    </x:xf>
    <x:xf numFmtId="0" fontId="36" fillId="126" borderId="15" xfId="0" applyAlignment="1">
      <x:alignment horizontal="center" vertical="center"/>
    </x:xf>
    <x:xf numFmtId="0" fontId="36" fillId="126" borderId="15" xfId="0" applyAlignment="1">
      <x:alignment horizontal="left" vertical="center" wrapText="1"/>
    </x:xf>
    <x:xf numFmtId="0" fontId="36" fillId="126" borderId="15" xfId="0" applyAlignment="1">
      <x:alignment vertical="center"/>
    </x:xf>
    <x:xf numFmtId="0" fontId="36" fillId="126" borderId="15" xfId="0" applyAlignment="1">
      <x:alignment horizontal="right" vertical="center"/>
    </x:xf>
    <x:xf numFmtId="0" fontId="36" fillId="126" borderId="15" xfId="0" applyAlignment="1">
      <x:alignment horizontal="right" vertical="center" wrapText="1"/>
    </x:xf>
    <x:xf numFmtId="0" fontId="37" fillId="126" borderId="15" xfId="0" applyAlignment="1">
      <x:alignment horizontal="right" vertical="center" wrapText="1"/>
    </x:xf>
    <x:xf numFmtId="0" fontId="37" fillId="126" borderId="15" xfId="0" applyAlignment="1">
      <x:alignment horizontal="left" vertical="center" wrapText="1"/>
    </x:xf>
    <x:xf numFmtId="0" fontId="19" fillId="123" borderId="15" xfId="0" applyAlignment="1">
      <x:alignment horizontal="center" vertical="center"/>
    </x:xf>
    <x:xf numFmtId="0" fontId="20" fillId="123" borderId="15" xfId="0" applyAlignment="1">
      <x:alignment horizontal="center" vertical="center"/>
    </x:xf>
    <x:xf numFmtId="0" fontId="19" fillId="124" borderId="15" xfId="0" applyAlignment="1">
      <x:alignment horizontal="center" vertical="center"/>
    </x:xf>
    <x:xf numFmtId="0" fontId="20" fillId="124" borderId="15" xfId="0" applyAlignment="1">
      <x:alignment horizontal="center" vertical="center"/>
    </x:xf>
    <x:xf numFmtId="0" fontId="19" fillId="125" borderId="15" xfId="0" applyAlignment="1">
      <x:alignment horizontal="center" vertical="center"/>
    </x:xf>
    <x:xf numFmtId="0" fontId="20" fillId="125" borderId="15" xfId="0" applyAlignment="1">
      <x:alignment horizontal="center" vertical="center"/>
    </x:xf>
    <x:xf numFmtId="0" fontId="21" fillId="126" borderId="15" xfId="0" applyAlignment="1">
      <x:alignment horizontal="center" vertical="center"/>
    </x:xf>
    <x:xf numFmtId="0" fontId="19" fillId="126" borderId="15" xfId="0" applyAlignment="1">
      <x:alignment horizontal="center" vertical="center"/>
    </x:xf>
    <x:xf numFmtId="0" fontId="20" fillId="126" borderId="15" xfId="0" applyAlignment="1">
      <x:alignment horizontal="center" vertical="center"/>
    </x:xf>
    <x:xf numFmtId="0" fontId="21" fillId="123" borderId="15" xfId="0" applyAlignment="1">
      <x:alignment horizontal="center" vertical="center"/>
    </x:xf>
    <x:xf numFmtId="0" fontId="21" fillId="124" borderId="15" xfId="0" applyAlignment="1">
      <x:alignment horizontal="center" vertical="center"/>
    </x:xf>
    <x:xf numFmtId="0" fontId="21" fillId="125" borderId="15" xfId="0" applyAlignment="1">
      <x:alignment horizontal="center" vertical="center"/>
    </x:xf>
    <x:xf numFmtId="0" fontId="36" fillId="127" borderId="15" xfId="0" applyAlignment="1">
      <x:alignment horizontal="left" vertical="center"/>
    </x:xf>
    <x:xf numFmtId="3" fontId="36" fillId="127" borderId="15" xfId="0" applyAlignment="1">
      <x:alignment horizontal="right" vertical="center"/>
    </x:xf>
    <x:xf numFmtId="168" fontId="36" fillId="127" borderId="15" xfId="0" applyAlignment="1">
      <x:alignment horizontal="right" vertical="center"/>
    </x:xf>
    <x:xf numFmtId="1" fontId="36" fillId="127" borderId="15" xfId="0" applyAlignment="1">
      <x:alignment horizontal="right" vertical="center"/>
    </x:xf>
    <x:xf numFmtId="164" fontId="36" fillId="127" borderId="15" xfId="0" applyAlignment="1">
      <x:alignment horizontal="right" vertical="center"/>
    </x:xf>
    <x:xf numFmtId="166" fontId="36" fillId="127" borderId="15" xfId="0" applyAlignment="1">
      <x:alignment horizontal="right" vertical="center"/>
    </x:xf>
    <x:xf numFmtId="165" fontId="36" fillId="127" borderId="15" xfId="0" applyAlignment="1">
      <x:alignment horizontal="right" vertical="center"/>
    </x:xf>
    <x:xf numFmtId="0" fontId="36" fillId="127" borderId="15" xfId="0" applyAlignment="1">
      <x:alignment horizontal="right" vertical="center"/>
    </x:xf>
    <x:xf numFmtId="0" fontId="19" fillId="127" borderId="15" xfId="0" applyAlignment="1">
      <x:alignment horizontal="center" vertical="center"/>
    </x:xf>
    <x:xf numFmtId="0" fontId="37" fillId="127" borderId="15" xfId="0" applyAlignment="1">
      <x:alignment horizontal="left" vertical="center" wrapText="1"/>
    </x:xf>
    <x:xf numFmtId="167" fontId="4" fillId="120" borderId="15" xfId="0" applyAlignment="1">
      <x:alignment horizontal="left" vertical="center"/>
    </x:xf>
    <x:xf numFmtId="167" fontId="4" fillId="122" borderId="15" xfId="0" applyAlignment="1">
      <x:alignment horizontal="left" vertical="center"/>
    </x:xf>
    <x:xf numFmtId="167" fontId="36" fillId="123" borderId="15" xfId="0" applyAlignment="1">
      <x:alignment horizontal="right" vertical="center"/>
    </x:xf>
    <x:xf numFmtId="167" fontId="36" fillId="127" borderId="15" xfId="0" applyAlignment="1">
      <x:alignment horizontal="right" vertical="center"/>
    </x:xf>
    <x:xf numFmtId="167" fontId="36" fillId="124" borderId="15" xfId="0" applyAlignment="1">
      <x:alignment horizontal="right" vertical="center"/>
    </x:xf>
    <x:xf numFmtId="167" fontId="36" fillId="125" borderId="15" xfId="0" applyAlignment="1">
      <x:alignment horizontal="right" vertical="center"/>
    </x:xf>
    <x:xf numFmtId="167" fontId="36" fillId="126" borderId="15" xfId="0" applyAlignment="1">
      <x:alignment horizontal="right" vertical="center"/>
    </x:xf>
    <x:xf numFmtId="0" fontId="0" fillId="0" borderId="18" xfId="0"/>
    <x:xf numFmtId="3" fontId="4" fillId="120" borderId="15" xfId="0" applyAlignment="1">
      <x:alignment horizontal="left" vertical="center"/>
    </x:xf>
    <x:xf numFmtId="168" fontId="4" fillId="120" borderId="15" xfId="0" applyAlignment="1">
      <x:alignment horizontal="left" vertical="center"/>
    </x:xf>
    <x:xf numFmtId="1" fontId="4" fillId="120" borderId="15" xfId="0" applyAlignment="1">
      <x:alignment horizontal="left" vertical="center"/>
    </x:xf>
    <x:xf numFmtId="3" fontId="4" fillId="122" borderId="15" xfId="0" applyAlignment="1">
      <x:alignment horizontal="left" vertical="center"/>
    </x:xf>
    <x:xf numFmtId="168" fontId="4" fillId="122" borderId="15" xfId="0" applyAlignment="1">
      <x:alignment horizontal="left" vertical="center"/>
    </x:xf>
    <x:xf numFmtId="1" fontId="4" fillId="122" borderId="15" xfId="0" applyAlignment="1">
      <x:alignment horizontal="left" vertical="center"/>
    </x:xf>
    <x:xf numFmtId="3" fontId="36" fillId="123" borderId="15" xfId="0" applyAlignment="1">
      <x:alignment horizontal="right" vertical="center"/>
    </x:xf>
    <x:xf numFmtId="168" fontId="36" fillId="123" borderId="15" xfId="0" applyAlignment="1">
      <x:alignment horizontal="right" vertical="center"/>
    </x:xf>
    <x:xf numFmtId="1" fontId="36" fillId="123" borderId="15" xfId="0" applyAlignment="1">
      <x:alignment horizontal="right" vertical="center"/>
    </x:xf>
    <x:xf numFmtId="3" fontId="36" fillId="127" borderId="15" xfId="0" applyAlignment="1">
      <x:alignment horizontal="right" vertical="center"/>
    </x:xf>
    <x:xf numFmtId="168" fontId="36" fillId="127" borderId="15" xfId="0" applyAlignment="1">
      <x:alignment horizontal="right" vertical="center"/>
    </x:xf>
    <x:xf numFmtId="1" fontId="36" fillId="127" borderId="15" xfId="0" applyAlignment="1">
      <x:alignment horizontal="right" vertical="center"/>
    </x:xf>
    <x:xf numFmtId="3" fontId="36" fillId="124" borderId="15" xfId="0" applyAlignment="1">
      <x:alignment horizontal="right" vertical="center"/>
    </x:xf>
    <x:xf numFmtId="168" fontId="36" fillId="124" borderId="15" xfId="0" applyAlignment="1">
      <x:alignment horizontal="right" vertical="center"/>
    </x:xf>
    <x:xf numFmtId="1" fontId="36" fillId="124" borderId="15" xfId="0" applyAlignment="1">
      <x:alignment horizontal="right" vertical="center"/>
    </x:xf>
    <x:xf numFmtId="3" fontId="36" fillId="125" borderId="15" xfId="0" applyAlignment="1">
      <x:alignment horizontal="right" vertical="center"/>
    </x:xf>
    <x:xf numFmtId="168" fontId="36" fillId="125" borderId="15" xfId="0" applyAlignment="1">
      <x:alignment horizontal="right" vertical="center"/>
    </x:xf>
    <x:xf numFmtId="1" fontId="36" fillId="125" borderId="15" xfId="0" applyAlignment="1">
      <x:alignment horizontal="right" vertical="center"/>
    </x:xf>
    <x:xf numFmtId="3" fontId="36" fillId="126" borderId="15" xfId="0" applyAlignment="1">
      <x:alignment horizontal="right" vertical="center"/>
    </x:xf>
    <x:xf numFmtId="168" fontId="36" fillId="126" borderId="15" xfId="0" applyAlignment="1">
      <x:alignment horizontal="right" vertical="center"/>
    </x:xf>
    <x:xf numFmtId="1" fontId="36" fillId="126" borderId="15" xfId="0" applyAlignment="1">
      <x:alignment horizontal="right" vertical="center"/>
    </x:xf>
    <x:xf numFmtId="0" fontId="11" fillId="128" borderId="15" xfId="0" applyNumberFormat="1" applyFont="1" applyFill="1" applyBorder="1" applyAlignment="1">
      <x:alignment horizontal="left" vertical="center"/>
    </x:xf>
    <x:xf numFmtId="3" fontId="11" fillId="128" borderId="15" xfId="0" applyNumberFormat="1" applyFont="1" applyFill="1" applyBorder="1" applyAlignment="1">
      <x:alignment horizontal="right" vertical="center"/>
    </x:xf>
    <x:xf numFmtId="168" fontId="11" fillId="128" borderId="15" xfId="0" applyNumberFormat="1" applyFont="1" applyFill="1" applyBorder="1" applyAlignment="1">
      <x:alignment horizontal="right" vertical="center"/>
    </x:xf>
    <x:xf numFmtId="1" fontId="11" fillId="128" borderId="15" xfId="0" applyNumberFormat="1" applyFont="1" applyFill="1" applyBorder="1" applyAlignment="1">
      <x:alignment horizontal="right" vertical="center"/>
    </x:xf>
    <x:xf numFmtId="164" fontId="11" fillId="128" borderId="15" xfId="0" applyNumberFormat="1" applyFont="1" applyFill="1" applyBorder="1" applyAlignment="1">
      <x:alignment horizontal="right" vertical="center"/>
    </x:xf>
    <x:xf numFmtId="166" fontId="11" fillId="128" borderId="15" xfId="0" applyNumberFormat="1" applyFont="1" applyFill="1" applyBorder="1" applyAlignment="1">
      <x:alignment horizontal="right" vertical="center"/>
    </x:xf>
    <x:xf numFmtId="165" fontId="11" fillId="128" borderId="15" xfId="0" applyNumberFormat="1" applyFont="1" applyFill="1" applyBorder="1" applyAlignment="1">
      <x:alignment horizontal="right" vertical="center"/>
    </x:xf>
    <x:xf numFmtId="167" fontId="11" fillId="128" borderId="15" xfId="0" applyNumberFormat="1" applyFont="1" applyFill="1" applyBorder="1" applyAlignment="1">
      <x:alignment horizontal="right" vertical="center"/>
    </x:xf>
    <x:xf numFmtId="0" fontId="19" fillId="128" borderId="15" xfId="0" applyNumberFormat="1" applyFont="1" applyFill="1" applyBorder="1" applyAlignment="1">
      <x:alignment horizontal="center" vertical="center"/>
    </x:xf>
    <x:xf numFmtId="0" fontId="18" fillId="128" borderId="15" xfId="0" applyNumberFormat="1" applyFont="1" applyFill="1" applyBorder="1" applyAlignment="1">
      <x:alignment horizontal="left" vertical="center" wrapText="1"/>
    </x:xf>
    <x:xf numFmtId="0" fontId="11" fillId="129" borderId="15" xfId="0" applyNumberFormat="1" applyFont="1" applyFill="1" applyBorder="1" applyAlignment="1">
      <x:alignment horizontal="left" vertical="center"/>
    </x:xf>
    <x:xf numFmtId="3" fontId="11" fillId="129" borderId="15" xfId="0" applyNumberFormat="1" applyFont="1" applyFill="1" applyBorder="1" applyAlignment="1">
      <x:alignment horizontal="right" vertical="center"/>
    </x:xf>
    <x:xf numFmtId="168" fontId="11" fillId="129" borderId="15" xfId="0" applyNumberFormat="1" applyFont="1" applyFill="1" applyBorder="1" applyAlignment="1">
      <x:alignment horizontal="right" vertical="center"/>
    </x:xf>
    <x:xf numFmtId="1" fontId="11" fillId="129" borderId="15" xfId="0" applyNumberFormat="1" applyFont="1" applyFill="1" applyBorder="1" applyAlignment="1">
      <x:alignment horizontal="right" vertical="center"/>
    </x:xf>
    <x:xf numFmtId="164" fontId="11" fillId="129" borderId="15" xfId="0" applyNumberFormat="1" applyFont="1" applyFill="1" applyBorder="1" applyAlignment="1">
      <x:alignment horizontal="right" vertical="center"/>
    </x:xf>
    <x:xf numFmtId="166" fontId="11" fillId="129" borderId="15" xfId="0" applyNumberFormat="1" applyFont="1" applyFill="1" applyBorder="1" applyAlignment="1">
      <x:alignment horizontal="right" vertical="center"/>
    </x:xf>
    <x:xf numFmtId="165" fontId="11" fillId="129" borderId="15" xfId="0" applyNumberFormat="1" applyFont="1" applyFill="1" applyBorder="1" applyAlignment="1">
      <x:alignment horizontal="right" vertical="center"/>
    </x:xf>
    <x:xf numFmtId="167" fontId="11" fillId="129" borderId="15" xfId="0" applyNumberFormat="1" applyFont="1" applyFill="1" applyBorder="1" applyAlignment="1">
      <x:alignment horizontal="right" vertical="center"/>
    </x:xf>
    <x:xf numFmtId="0" fontId="19" fillId="129" borderId="15" xfId="0" applyNumberFormat="1" applyFont="1" applyFill="1" applyBorder="1" applyAlignment="1">
      <x:alignment horizontal="center" vertical="center"/>
    </x:xf>
    <x:xf numFmtId="0" fontId="18" fillId="129" borderId="15" xfId="0" applyNumberFormat="1" applyFont="1" applyFill="1" applyBorder="1" applyAlignment="1">
      <x:alignment horizontal="left" vertical="center" wrapText="1"/>
    </x:xf>
    <x:xf numFmtId="0" fontId="11" fillId="130" borderId="15" xfId="0" applyNumberFormat="1" applyFont="1" applyFill="1" applyBorder="1" applyAlignment="1">
      <x:alignment horizontal="left" vertical="center"/>
    </x:xf>
    <x:xf numFmtId="3" fontId="11" fillId="130" borderId="15" xfId="0" applyNumberFormat="1" applyFont="1" applyFill="1" applyBorder="1" applyAlignment="1">
      <x:alignment horizontal="right" vertical="center"/>
    </x:xf>
    <x:xf numFmtId="168" fontId="11" fillId="130" borderId="15" xfId="0" applyNumberFormat="1" applyFont="1" applyFill="1" applyBorder="1" applyAlignment="1">
      <x:alignment horizontal="right" vertical="center"/>
    </x:xf>
    <x:xf numFmtId="1" fontId="11" fillId="130" borderId="15" xfId="0" applyNumberFormat="1" applyFont="1" applyFill="1" applyBorder="1" applyAlignment="1">
      <x:alignment horizontal="right" vertical="center"/>
    </x:xf>
    <x:xf numFmtId="164" fontId="11" fillId="130" borderId="15" xfId="0" applyNumberFormat="1" applyFont="1" applyFill="1" applyBorder="1" applyAlignment="1">
      <x:alignment horizontal="right" vertical="center"/>
    </x:xf>
    <x:xf numFmtId="166" fontId="11" fillId="130" borderId="15" xfId="0" applyNumberFormat="1" applyFont="1" applyFill="1" applyBorder="1" applyAlignment="1">
      <x:alignment horizontal="right" vertical="center"/>
    </x:xf>
    <x:xf numFmtId="165" fontId="11" fillId="130" borderId="15" xfId="0" applyNumberFormat="1" applyFont="1" applyFill="1" applyBorder="1" applyAlignment="1">
      <x:alignment horizontal="right" vertical="center"/>
    </x:xf>
    <x:xf numFmtId="167" fontId="11" fillId="130" borderId="15" xfId="0" applyNumberFormat="1" applyFont="1" applyFill="1" applyBorder="1" applyAlignment="1">
      <x:alignment horizontal="right" vertical="center"/>
    </x:xf>
    <x:xf numFmtId="0" fontId="19" fillId="130" borderId="15" xfId="0" applyNumberFormat="1" applyFont="1" applyFill="1" applyBorder="1" applyAlignment="1">
      <x:alignment horizontal="center" vertical="center"/>
    </x:xf>
    <x:xf numFmtId="0" fontId="18" fillId="130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90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008000"/>
      </x:font>
    </x:dxf>
    <x:dxf>
      <x:font>
        <x:b/>
        <x:color rgb="FF008000"/>
      </x:font>
    </x:dxf>
    <x:dxf>
      <x:font>
        <x:b/>
        <x:color rgb="FF7F7F7F"/>
      </x:font>
    </x:dxf>
    <x:dxf>
      <x:font>
        <x:b/>
        <x:color rgb="FFC00000"/>
      </x:font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ada7767b84d3d" /><Relationship Type="http://schemas.openxmlformats.org/officeDocument/2006/relationships/theme" Target="/xl/theme/theme1.xml" Id="R72a45c39cdb34528" /><Relationship Type="http://schemas.openxmlformats.org/officeDocument/2006/relationships/sharedStrings" Target="/xl/sharedStrings.xml" Id="Rfa8d3cabf4db43ce" /><Relationship Type="http://schemas.openxmlformats.org/officeDocument/2006/relationships/worksheet" Target="/xl/worksheets/sheet1.xml" Id="R51ab6aa5b5bc48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10" customWidth="1"/>
    <x:col min="2" max="2" width="9" customWidth="1"/>
    <x:col min="3" max="3" width="9" customWidth="1"/>
    <x:col min="4" max="4" width="10" customWidth="1"/>
    <x:col min="5" max="5" width="8" customWidth="1"/>
    <x:col min="6" max="6" width="8" customWidth="1"/>
    <x:col min="7" max="7" width="8" customWidth="1"/>
    <x:col min="8" max="8" width="11" customWidth="1"/>
    <x:col min="9" max="9" width="11" customWidth="1"/>
    <x:col min="10" max="10" width="12" customWidth="1"/>
    <x:col min="11" max="11" width="14" customWidth="1"/>
    <x:col min="12" max="12" width="14" customWidth="1"/>
    <x:col min="13" max="13" width="10" customWidth="1"/>
    <x:col min="14" max="14" width="17" customWidth="1"/>
    <x:col min="15" max="15" width="14" customWidth="1"/>
    <x:col min="16" max="16" width="18" customWidth="1"/>
    <x:col min="17" max="17" width="18" customWidth="1"/>
    <x:col min="18" max="18" width="18" customWidth="1"/>
    <x:col min="19" max="19" width="18" customWidth="1"/>
    <x:col min="20" max="20" width="18" customWidth="1"/>
    <x:col min="21" max="21" width="17" customWidth="1"/>
    <x:col min="22" max="22" width="15" customWidth="1"/>
    <x:col min="23" max="23" width="12" customWidth="1"/>
    <x:col min="24" max="24" width="13" customWidth="1"/>
    <x:col min="25" max="25" width="11" customWidth="1"/>
    <x:col min="26" max="26" width="16" customWidth="1"/>
    <x:col min="27" max="27" width="15" customWidth="1"/>
    <x:col min="28" max="28" width="14" customWidth="1"/>
    <x:col min="29" max="29" width="52" customWidth="1"/>
  </x:cols>
  <x:sheetData>
    <x:row r="1" ht="7" customHeight="1">
      <x:c r="A1" s="1066" t="n"/>
      <x:c r="B1" s="1066" t="n"/>
      <x:c r="C1" s="1066" t="n"/>
      <x:c r="D1" s="1066" t="n"/>
      <x:c r="E1" s="1066" t="n"/>
      <x:c r="F1" s="1066" t="n"/>
      <x:c r="G1" s="1066" t="n"/>
      <x:c r="H1" s="1066" t="n"/>
      <x:c r="I1" s="1066" t="n"/>
      <x:c r="J1" s="1066" t="n"/>
      <x:c r="K1" s="1066" t="n"/>
      <x:c r="L1" s="1066" t="n"/>
      <x:c r="M1" s="1066" t="n"/>
      <x:c r="N1" s="1066" t="n"/>
      <x:c r="O1" s="1066" t="n"/>
      <x:c r="P1" s="1066" t="n"/>
      <x:c r="Q1" s="1066" t="n"/>
      <x:c r="R1" s="1066" t="n"/>
      <x:c r="S1" s="1066" t="n"/>
      <x:c r="T1" s="1194" t="n"/>
      <x:c r="U1" s="1194" t="n"/>
      <x:c r="V1" s="1194" t="n"/>
      <x:c r="W1" s="1194" t="n"/>
      <x:c r="X1" s="1194" t="n"/>
      <x:c r="Y1" s="1194" t="n"/>
      <x:c r="Z1" s="1194" t="n"/>
      <x:c r="AA1" s="1194" t="n"/>
      <x:c r="AB1" s="1194" t="n"/>
      <x:c r="AC1" s="1194" t="n"/>
    </x:row>
    <x:row r="2" ht="25" customHeight="1">
      <x:c r="A2" s="2790" t="inlineStr">
        <x:is>
          <x:t xml:space="preserve">Matmul tile-size performance comparison</x:t>
        </x:is>
      </x:c>
      <x:c r="B2" s="105" t="n"/>
      <x:c r="C2" s="105" t="n"/>
      <x:c r="D2" s="105" t="n"/>
      <x:c r="E2" s="105" t="n"/>
      <x:c r="F2" s="105" t="n"/>
      <x:c r="G2" s="105" t="n"/>
      <x:c r="H2" s="105" t="n"/>
      <x:c r="I2" s="105" t="n"/>
      <x:c r="J2" s="105" t="n"/>
      <x:c r="K2" s="105" t="n"/>
      <x:c r="L2" s="105" t="n"/>
      <x:c r="M2" s="105" t="n"/>
      <x:c r="N2" s="105" t="n"/>
      <x:c r="O2" s="105" t="n"/>
      <x:c r="P2" s="105" t="n"/>
      <x:c r="Q2" s="105" t="n"/>
      <x:c r="R2" s="105" t="n"/>
      <x:c r="S2" s="105" t="n"/>
      <x:c r="T2" s="105" t="n"/>
      <x:c r="U2" s="105" t="n"/>
      <x:c r="V2" s="105" t="n"/>
      <x:c r="W2" s="105" t="n"/>
      <x:c r="X2" s="105" t="n"/>
      <x:c r="Y2" s="105" t="n"/>
      <x:c r="Z2" s="105" t="n"/>
      <x:c r="AA2" s="105" t="n"/>
      <x:c r="AB2" s="105" t="n"/>
      <x:c r="AC2" s="105" t="n"/>
    </x:row>
    <x:row r="3" ht="7" customHeight="1">
      <x:c r="A3" s="1070" t="n"/>
      <x:c r="B3" s="1070" t="n"/>
      <x:c r="C3" s="1070" t="n"/>
      <x:c r="D3" s="1070" t="n"/>
      <x:c r="E3" s="1070" t="n"/>
      <x:c r="F3" s="1070" t="n"/>
      <x:c r="G3" s="1070" t="n"/>
      <x:c r="H3" s="1070" t="n"/>
      <x:c r="I3" s="1070" t="n"/>
      <x:c r="J3" s="1070" t="n"/>
      <x:c r="K3" s="1070" t="n"/>
      <x:c r="L3" s="1070" t="n"/>
      <x:c r="M3" s="1070" t="n"/>
      <x:c r="N3" s="1070" t="n"/>
      <x:c r="O3" s="1070" t="n"/>
      <x:c r="P3" s="1070" t="n"/>
      <x:c r="Q3" s="1070" t="n"/>
      <x:c r="R3" s="1070" t="n"/>
      <x:c r="S3" s="1070" t="n"/>
      <x:c r="T3" s="1194" t="n"/>
      <x:c r="U3" s="1194" t="n"/>
      <x:c r="V3" s="1194" t="n"/>
      <x:c r="W3" s="1194" t="n"/>
      <x:c r="X3" s="1194" t="n"/>
      <x:c r="Y3" s="1194" t="n"/>
      <x:c r="Z3" s="1194" t="n"/>
      <x:c r="AA3" s="1194" t="n"/>
      <x:c r="AB3" s="1194" t="n"/>
      <x:c r="AC3" s="1194" t="n"/>
    </x:row>
    <x:row r="4" ht="19" customHeight="1">
      <x:c r="A4" s="2792" t="str">
        <x:v>统一配置    4 PE    model-main gfsim    SharedTReg 256 KiB (sharetreg_size_bytes=262144 / ssb_count=64)    soc_random=true，无 SoC 带宽/延迟约束    理论读写带宽=128 B/c    gfsim 命令: bin/gfsim -s softcore.multiThreadNum=4 -s cube.enable_internal_acc=true -s bctrl.vec_cell_sched_enable=true -s core.soc_random=true -s core.sharetreg_size_bytes=262144 -s core.sharetreg_ssb_count=64 -f &lt;ELF&gt;    (2026-09-26 重刷)</x:v>
      </x:c>
      <x:c r="B4" s="106" t="n"/>
      <x:c r="C4" s="106" t="n"/>
      <x:c r="D4" s="106" t="n"/>
      <x:c r="E4" s="106" t="n"/>
      <x:c r="F4" s="106" t="n"/>
      <x:c r="G4" s="106" t="n"/>
      <x:c r="H4" s="106" t="n"/>
      <x:c r="I4" s="106" t="n"/>
      <x:c r="J4" s="106" t="n"/>
      <x:c r="K4" s="106" t="n"/>
      <x:c r="L4" s="106" t="n"/>
      <x:c r="M4" s="106" t="n"/>
      <x:c r="N4" s="106" t="n"/>
      <x:c r="O4" s="106" t="n"/>
      <x:c r="P4" s="106" t="n"/>
      <x:c r="Q4" s="106" t="n"/>
      <x:c r="R4" s="106" t="n"/>
      <x:c r="S4" s="106" t="n"/>
      <x:c r="T4" s="106" t="n"/>
      <x:c r="U4" s="106" t="n"/>
      <x:c r="V4" s="106" t="n"/>
      <x:c r="W4" s="106" t="n"/>
      <x:c r="X4" s="106" t="n"/>
      <x:c r="Y4" s="106" t="n"/>
      <x:c r="Z4" s="106" t="n"/>
      <x:c r="AA4" s="106" t="n"/>
      <x:c r="AB4" s="106" t="n"/>
      <x:c r="AC4" s="106" t="n"/>
    </x:row>
    <x:row r="5" ht="7" customHeight="1">
      <x:c r="A5" s="1070" t="n"/>
      <x:c r="B5" s="1070" t="n"/>
      <x:c r="C5" s="1070" t="n"/>
      <x:c r="D5" s="1070" t="n"/>
      <x:c r="E5" s="1070" t="n"/>
      <x:c r="F5" s="1070" t="n"/>
      <x:c r="G5" s="1070" t="n"/>
      <x:c r="H5" s="1070" t="n"/>
      <x:c r="I5" s="1070" t="n"/>
      <x:c r="J5" s="1070" t="n"/>
      <x:c r="K5" s="1070" t="n"/>
      <x:c r="L5" s="1070" t="n"/>
      <x:c r="M5" s="1070" t="n"/>
      <x:c r="N5" s="1070" t="n"/>
      <x:c r="O5" s="1070" t="n"/>
      <x:c r="P5" s="1070" t="n"/>
      <x:c r="Q5" s="1070" t="n"/>
      <x:c r="R5" s="1070" t="n"/>
      <x:c r="S5" s="1070" t="n"/>
      <x:c r="T5" s="1194" t="n"/>
      <x:c r="U5" s="1194" t="n"/>
      <x:c r="V5" s="1194" t="n"/>
      <x:c r="W5" s="1194" t="n"/>
      <x:c r="X5" s="1194" t="n"/>
      <x:c r="Y5" s="1194" t="n"/>
      <x:c r="Z5" s="1194" t="n"/>
      <x:c r="AA5" s="1194" t="n"/>
      <x:c r="AB5" s="1194" t="n"/>
      <x:c r="AC5" s="1194" t="n"/>
    </x:row>
    <x:row r="6" ht="23" customHeight="1">
      <x:c r="A6" s="2794" t="inlineStr">
        <x:is>
          <x:t xml:space="preserve">Configuration / SharedTile</x:t>
        </x:is>
      </x:c>
      <x:c r="B6" s="106" t="n"/>
      <x:c r="C6" s="106" t="n"/>
      <x:c r="D6" s="106" t="n"/>
      <x:c r="E6" s="106" t="n"/>
      <x:c r="F6" s="106" t="n"/>
      <x:c r="G6" s="106" t="n"/>
      <x:c r="H6" s="106" t="n"/>
      <x:c r="I6" s="106" t="n"/>
      <x:c r="J6" s="106" t="n"/>
      <x:c r="K6" s="2960" t="n"/>
      <x:c r="L6" s="2794" t="inlineStr">
        <x:is>
          <x:t xml:space="preserve">Performance</x:t>
        </x:is>
      </x:c>
      <x:c r="M6" s="2960" t="n"/>
      <x:c r="N6" s="2794" t="inlineStr">
        <x:is>
          <x:t xml:space="preserve">Read traffic model</x:t>
        </x:is>
      </x:c>
      <x:c r="O6" s="2960" t="n"/>
      <x:c r="P6" s="2794" t="inlineStr">
        <x:is>
          <x:t xml:space="preserve">Cube bandwidth model</x:t>
        </x:is>
      </x:c>
      <x:c r="Q6" s="106" t="n"/>
      <x:c r="R6" s="106" t="n"/>
      <x:c r="S6" s="106" t="n"/>
      <x:c r="T6" s="2960" t="n"/>
      <x:c r="U6" s="2794" t="inlineStr">
        <x:is>
          <x:t xml:space="preserve">Comparison</x:t>
        </x:is>
      </x:c>
      <x:c r="V6" s="2794" t="inlineStr">
        <x:is>
          <x:t xml:space="preserve">matmul_reuseA — S1 同配置对比</x:t>
        </x:is>
      </x:c>
      <x:c r="W6" s="106" t="n"/>
      <x:c r="X6" s="106" t="n"/>
      <x:c r="Y6" s="106" t="n"/>
      <x:c r="Z6" s="106" t="n"/>
      <x:c r="AA6" s="2960" t="n"/>
      <x:c r="AB6" s="2794" t="inlineStr">
        <x:is>
          <x:t xml:space="preserve">Status / Notes</x:t>
        </x:is>
      </x:c>
      <x:c r="AC6" s="2960" t="n"/>
    </x:row>
    <x:row r="7" ht="34" customHeight="1">
      <x:c r="A7" s="2796" t="inlineStr">
        <x:is>
          <x:t xml:space="preserve">dtype</x:t>
        </x:is>
      </x:c>
      <x:c r="B7" s="2796" t="inlineStr">
        <x:is>
          <x:t xml:space="preserve">M</x:t>
        </x:is>
      </x:c>
      <x:c r="C7" s="2796" t="inlineStr">
        <x:is>
          <x:t xml:space="preserve">N</x:t>
        </x:is>
      </x:c>
      <x:c r="D7" s="2796" t="inlineStr">
        <x:is>
          <x:t xml:space="preserve">K</x:t>
        </x:is>
      </x:c>
      <x:c r="E7" s="2796" t="inlineStr">
        <x:is>
          <x:t xml:space="preserve">tM</x:t>
        </x:is>
      </x:c>
      <x:c r="F7" s="2796" t="inlineStr">
        <x:is>
          <x:t xml:space="preserve">tN</x:t>
        </x:is>
      </x:c>
      <x:c r="G7" s="2796" t="inlineStr">
        <x:is>
          <x:t xml:space="preserve">tK</x:t>
        </x:is>
      </x:c>
      <x:c r="H7" s="2796" t="inlineStr">
        <x:is>
          <x:t xml:space="preserve">Tile A(KB)</x:t>
        </x:is>
      </x:c>
      <x:c r="I7" s="2796" t="inlineStr">
        <x:is>
          <x:t xml:space="preserve">Tile B(KB)</x:t>
        </x:is>
      </x:c>
      <x:c r="J7" s="2796" t="inlineStr">
        <x:is>
          <x:t xml:space="preserve">Total(KB)</x:t>
        </x:is>
      </x:c>
      <x:c r="K7" s="2796" t="inlineStr">
        <x:is>
          <x:t xml:space="preserve">读写带宽 (B/c)</x:t>
        </x:is>
      </x:c>
      <x:c r="L7" s="2796" t="inlineStr">
        <x:is>
          <x:t xml:space="preserve">cycles</x:t>
        </x:is>
      </x:c>
      <x:c r="M7" s="2796" t="inlineStr">
        <x:is>
          <x:t xml:space="preserve">PMU</x:t>
        </x:is>
      </x:c>
      <x:c r="N7" s="2796" t="inlineStr">
        <x:is>
          <x:t xml:space="preserve">读数据量 (KB)</x:t>
        </x:is>
      </x:c>
      <x:c r="O7" s="2796" t="inlineStr">
        <x:is>
          <x:t xml:space="preserve">读cycle</x:t>
        </x:is>
      </x:c>
      <x:c r="P7" s="2796" t="inlineStr">
        <x:is>
          <x:t xml:space="preserve">Cube读带宽需求 (B/c)</x:t>
        </x:is>
      </x:c>
      <x:c r="Q7" s="2796" t="inlineStr">
        <x:is>
          <x:t xml:space="preserve">Cube写带宽需求 (B/c)</x:t>
        </x:is>
      </x:c>
      <x:c r="R7" s="2796" t="inlineStr">
        <x:is>
          <x:t xml:space="preserve">读带宽约束 Cube利用率</x:t>
        </x:is>
      </x:c>
      <x:c r="S7" s="2796" t="inlineStr">
        <x:is>
          <x:t xml:space="preserve">写带宽约束 Cube利用率</x:t>
        </x:is>
      </x:c>
      <x:c r="T7" s="2796" t="inlineStr">
        <x:is>
          <x:t xml:space="preserve">带宽约束 Cube利用率</x:t>
        </x:is>
      </x:c>
      <x:c r="U7" s="2796" t="inlineStr">
        <x:is>
          <x:t xml:space="preserve">PMU - 带宽约束 (pp)</x:t>
        </x:is>
      </x:c>
      <x:c r="V7" s="2796" t="inlineStr">
        <x:is>
          <x:t xml:space="preserve">reuseA cycles</x:t>
        </x:is>
      </x:c>
      <x:c r="W7" s="2796" t="inlineStr">
        <x:is>
          <x:t xml:space="preserve">reuseA PMU</x:t>
        </x:is>
      </x:c>
      <x:c r="X7" s="2796" t="inlineStr">
        <x:is>
          <x:t xml:space="preserve">周期下降</x:t>
        </x:is>
      </x:c>
      <x:c r="Y7" s="2796" t="inlineStr">
        <x:is>
          <x:t xml:space="preserve">加速比</x:t>
        </x:is>
      </x:c>
      <x:c r="Z7" s="2796" t="inlineStr">
        <x:is>
          <x:t xml:space="preserve">A Tile load 减少</x:t>
        </x:is>
      </x:c>
      <x:c r="AA7" s="2796" t="inlineStr">
        <x:is>
          <x:t xml:space="preserve">reuseA 状态</x:t>
        </x:is>
      </x:c>
      <x:c r="AB7" s="2796" t="inlineStr">
        <x:is>
          <x:t xml:space="preserve">状态</x:t>
        </x:is>
      </x:c>
      <x:c r="AC7" s="2796" t="inlineStr">
        <x:is>
          <x:t xml:space="preserve">备注</x:t>
        </x:is>
      </x:c>
    </x:row>
    <x:row r="8" ht="24" customHeight="1">
      <x:c r="A8" s="2805" t="inlineStr">
        <x:is>
          <x:t xml:space="preserve">▌ S1  —  2048×256×2048</x:t>
        </x:is>
      </x:c>
      <x:c r="B8" s="2961" t="n"/>
      <x:c r="C8" s="2961" t="n"/>
      <x:c r="D8" s="2961" t="n"/>
      <x:c r="E8" s="2961" t="n"/>
      <x:c r="F8" s="2961" t="n"/>
      <x:c r="G8" s="2961" t="n"/>
      <x:c r="H8" s="2962" t="n"/>
      <x:c r="I8" s="2962" t="n"/>
      <x:c r="J8" s="2962" t="n"/>
      <x:c r="K8" s="2963"/>
      <x:c r="L8" s="2961" t="n"/>
      <x:c r="M8" s="2809" t="n"/>
      <x:c r="N8" s="2961" t="n"/>
      <x:c r="O8" s="2810" t="n"/>
      <x:c r="P8" s="2811" t="n"/>
      <x:c r="Q8" s="2811" t="n"/>
      <x:c r="R8" s="2809" t="n"/>
      <x:c r="S8" s="2809" t="n"/>
      <x:c r="T8" s="2809" t="n"/>
      <x:c r="U8" s="2811" t="n"/>
      <x:c r="V8" s="2961" t="n"/>
      <x:c r="W8" s="2809" t="n"/>
      <x:c r="X8" s="2809" t="n"/>
      <x:c r="Y8" s="2953" t="n"/>
      <x:c r="Z8" s="2809" t="n"/>
      <x:c r="AA8" s="2805" t="n"/>
      <x:c r="AB8" s="2805" t="n"/>
      <x:c r="AC8" s="2805" t="n"/>
    </x:row>
    <x:row r="9" ht="20" customHeight="1">
      <x:c r="A9" s="2822" t="inlineStr">
        <x:is>
          <x:t xml:space="preserve">FP32</x:t>
        </x:is>
      </x:c>
      <x:c r="B9" s="2964" t="n"/>
      <x:c r="C9" s="2964" t="n"/>
      <x:c r="D9" s="2964" t="n"/>
      <x:c r="E9" s="2964" t="n"/>
      <x:c r="F9" s="2964" t="n"/>
      <x:c r="G9" s="2964" t="n"/>
      <x:c r="H9" s="2965" t="n"/>
      <x:c r="I9" s="2965" t="n"/>
      <x:c r="J9" s="2965" t="n"/>
      <x:c r="K9" s="2966"/>
      <x:c r="L9" s="2964" t="n"/>
      <x:c r="M9" s="2826" t="n"/>
      <x:c r="N9" s="2964" t="n"/>
      <x:c r="O9" s="2827" t="n"/>
      <x:c r="P9" s="2828" t="n"/>
      <x:c r="Q9" s="2828" t="n"/>
      <x:c r="R9" s="2826" t="n"/>
      <x:c r="S9" s="2826" t="n"/>
      <x:c r="T9" s="2826" t="n"/>
      <x:c r="U9" s="2828" t="n"/>
      <x:c r="V9" s="2964" t="n"/>
      <x:c r="W9" s="2826" t="n"/>
      <x:c r="X9" s="2826" t="n"/>
      <x:c r="Y9" s="2954" t="n"/>
      <x:c r="Z9" s="2826" t="n"/>
      <x:c r="AA9" s="2822" t="n"/>
      <x:c r="AB9" s="2822" t="n"/>
      <x:c r="AC9" s="2822" t="n"/>
    </x:row>
    <x:row r="10" ht="20" customHeight="1">
      <x:c r="A10" s="2841" t="inlineStr">
        <x:is>
          <x:t xml:space="preserve">FP32</x:t>
        </x:is>
      </x:c>
      <x:c r="B10" s="2967" t="n">
        <x:v>2048</x:v>
      </x:c>
      <x:c r="C10" s="2967" t="n">
        <x:v>256</x:v>
      </x:c>
      <x:c r="D10" s="2967" t="n">
        <x:v>2048</x:v>
      </x:c>
      <x:c r="E10" s="2967" t="n">
        <x:v>128</x:v>
      </x:c>
      <x:c r="F10" s="2967" t="n">
        <x:v>64</x:v>
      </x:c>
      <x:c r="G10" s="2967" t="n">
        <x:v>64</x:v>
      </x:c>
      <x:c r="H10" s="2968" t="n">
        <x:v>32</x:v>
      </x:c>
      <x:c r="I10" s="2968" t="n">
        <x:v>16</x:v>
      </x:c>
      <x:c r="J10" s="2968" t="n">
        <x:v>48</x:v>
      </x:c>
      <x:c r="K10" s="2969" t="n">
        <x:v>128</x:v>
      </x:c>
      <x:c r="L10" s="2967" t="n">
        <x:v>1234196</x:v>
      </x:c>
      <x:c r="M10" s="2845" t="n">
        <x:f>IF(AND(ISNUMBER(L10),L10&gt;0),ROUND(B10*C10*D10/2048/L10*100,1)/100,"")</x:f>
        <x:v>0.425</x:v>
      </x:c>
      <x:c r="N10" s="2967" t="n">
        <x:f>IF(OR(B10="",C10="",D10="",E10="",F10="",G10=""),"",ROUNDUP(B10/MIN(E10,128),0)*(C10/F10)*(D10/G10)*((MIN(B10,MIN(E10,128))+F10)*G10*4/1024))</x:f>
        <x:v>98304</x:v>
      </x:c>
      <x:c r="O10" s="2846" t="n">
        <x:f>IF(AND(ISNUMBER(N10),ISNUMBER(K10),K10&gt;0),N10*1024/K10,"")</x:f>
        <x:v>786432</x:v>
      </x:c>
      <x:c r="P10" s="2847" t="n">
        <x:f>IF(OR(E10="",F10="",G10=""),"",((H10+I10)*1024)/(E10*F10*G10/2048))</x:f>
        <x:v>192</x:v>
      </x:c>
      <x:c r="Q10" s="2847" t="n">
        <x:f>IF(OR(E10="",F10="",G10=""),"",(E10*F10*4)/(E10*F10*G10/2048))</x:f>
        <x:v>128</x:v>
      </x:c>
      <x:c r="R10" s="2845" t="n">
        <x:f>IF(AND(ISNUMBER(K10),K10&gt;0,ISNUMBER(P10),P10&gt;0),MIN(1,K10/P10),"")</x:f>
        <x:v>0.6666666666666666</x:v>
      </x:c>
      <x:c r="S10" s="2845" t="n">
        <x:f>IF(AND(ISNUMBER(K10),K10&gt;0,ISNUMBER(Q10),Q10&gt;0),MIN(1,K10/Q10),"")</x:f>
        <x:v>1</x:v>
      </x:c>
      <x:c r="T10" s="2845" t="n">
        <x:f>IF(AND(ISNUMBER(R10),ISNUMBER(S10)),MIN(R10,S10),"")</x:f>
        <x:v>0.6666666666666666</x:v>
      </x:c>
      <x:c r="U10" s="2847" t="n">
        <x:f>IF(AND(ISNUMBER(M10),ISNUMBER(T10)),(M10-T10)*100,"")</x:f>
        <x:v>-24.166666666666664</x:v>
      </x:c>
      <x:c r="V10" s="2967" t="n">
        <x:v>532235</x:v>
      </x:c>
      <x:c r="W10" s="2845" t="n">
        <x:v>0.985</x:v>
      </x:c>
      <x:c r="X10" s="2845" t="n">
        <x:f>IF(AND(ISNUMBER(L10),ISNUMBER(V10),L10&gt;0,V10&gt;0),(L10-V10)/L10,"")</x:f>
        <x:v>0.5687597431850371</x:v>
      </x:c>
      <x:c r="Y10" s="2955" t="n">
        <x:f>IF(AND(ISNUMBER(L10),ISNUMBER(V10),L10&gt;0,V10&gt;0),L10/V10,"")</x:f>
        <x:v>2.3188929702105274</x:v>
      </x:c>
      <x:c r="Z10" s="2845" t="n">
        <x:f>IF(AND(ISNUMBER(C10),ISNUMBER(F10),C10&gt;0,F10&gt;0),1-F10/C10,"")</x:f>
        <x:v>0.75</x:v>
      </x:c>
      <x:c r="AA10" s="2931" t="inlineStr">
        <x:is>
          <x:t xml:space="preserve">PASS</x:t>
        </x:is>
      </x:c>
      <x:c r="AB10" s="2932" t="inlineStr">
        <x:is>
          <x:t xml:space="preserve">PASS</x:t>
        </x:is>
      </x:c>
      <x:c r="AC10" s="2855" t="inlineStr">
        <x:is>
          <x:t xml:space="preserve">本轮 model-main ae058a98 + 6参数(无SoC带宽/延迟) 2026-09-26</x:t>
        </x:is>
      </x:c>
    </x:row>
    <x:row r="11" ht="20" customHeight="1">
      <x:c r="A11" s="2841" t="inlineStr">
        <x:is>
          <x:t xml:space="preserve">FP32</x:t>
        </x:is>
      </x:c>
      <x:c r="B11" s="2967" t="n">
        <x:v>2048</x:v>
      </x:c>
      <x:c r="C11" s="2967" t="n">
        <x:v>256</x:v>
      </x:c>
      <x:c r="D11" s="2967" t="n">
        <x:v>2048</x:v>
      </x:c>
      <x:c r="E11" s="2967" t="n">
        <x:v>128</x:v>
      </x:c>
      <x:c r="F11" s="2967" t="n">
        <x:v>64</x:v>
      </x:c>
      <x:c r="G11" s="2967" t="n">
        <x:v>128</x:v>
      </x:c>
      <x:c r="H11" s="2968" t="n">
        <x:v>64</x:v>
      </x:c>
      <x:c r="I11" s="2968" t="n">
        <x:v>32</x:v>
      </x:c>
      <x:c r="J11" s="2968" t="n">
        <x:v>96</x:v>
      </x:c>
      <x:c r="K11" s="2969" t="n">
        <x:v>128</x:v>
      </x:c>
      <x:c r="L11" s="2967" t="n">
        <x:v>1233957</x:v>
      </x:c>
      <x:c r="M11" s="2845" t="n">
        <x:f>IF(AND(ISNUMBER(L11),L11&gt;0),ROUND(B11*C11*D11/2048/L11*100,1)/100,"")</x:f>
        <x:v>0.425</x:v>
      </x:c>
      <x:c r="N11" s="2967" t="n">
        <x:f>IF(OR(B11="",C11="",D11="",E11="",F11="",G11=""),"",ROUNDUP(B11/MIN(E11,128),0)*(C11/F11)*(D11/G11)*((MIN(B11,MIN(E11,128))+F11)*G11*4/1024))</x:f>
        <x:v>98304</x:v>
      </x:c>
      <x:c r="O11" s="2846" t="n">
        <x:f>IF(AND(ISNUMBER(N11),ISNUMBER(K11),K11&gt;0),N11*1024/K11,"")</x:f>
        <x:v>786432</x:v>
      </x:c>
      <x:c r="P11" s="2847" t="n">
        <x:f>IF(OR(E11="",F11="",G11=""),"",((H11+I11)*1024)/(E11*F11*G11/2048))</x:f>
        <x:v>192</x:v>
      </x:c>
      <x:c r="Q11" s="2847" t="n">
        <x:f>IF(OR(E11="",F11="",G11=""),"",(E11*F11*4)/(E11*F11*G11/2048))</x:f>
        <x:v>64</x:v>
      </x:c>
      <x:c r="R11" s="2845" t="n">
        <x:f>IF(AND(ISNUMBER(K11),K11&gt;0,ISNUMBER(P11),P11&gt;0),MIN(1,K11/P11),"")</x:f>
        <x:v>0.6666666666666666</x:v>
      </x:c>
      <x:c r="S11" s="2845" t="n">
        <x:f>IF(AND(ISNUMBER(K11),K11&gt;0,ISNUMBER(Q11),Q11&gt;0),MIN(1,K11/Q11),"")</x:f>
        <x:v>1</x:v>
      </x:c>
      <x:c r="T11" s="2845" t="n">
        <x:f>IF(AND(ISNUMBER(R11),ISNUMBER(S11)),MIN(R11,S11),"")</x:f>
        <x:v>0.6666666666666666</x:v>
      </x:c>
      <x:c r="U11" s="2847" t="n">
        <x:f>IF(AND(ISNUMBER(M11),ISNUMBER(T11)),(M11-T11)*100,"")</x:f>
        <x:v>-24.166666666666664</x:v>
      </x:c>
      <x:c r="V11" s="2967" t="n">
        <x:v>529233</x:v>
      </x:c>
      <x:c r="W11" s="2845" t="n">
        <x:v>0.991</x:v>
      </x:c>
      <x:c r="X11" s="2845" t="n">
        <x:f>IF(AND(ISNUMBER(L11),ISNUMBER(V11),L11&gt;0,V11&gt;0),(L11-V11)/L11,"")</x:f>
        <x:v>0.571109041887197</x:v>
      </x:c>
      <x:c r="Y11" s="2955" t="n">
        <x:f>IF(AND(ISNUMBER(L11),ISNUMBER(V11),L11&gt;0,V11&gt;0),L11/V11,"")</x:f>
        <x:v>2.3315949685677198</x:v>
      </x:c>
      <x:c r="Z11" s="2845" t="n">
        <x:f>IF(AND(ISNUMBER(C11),ISNUMBER(F11),C11&gt;0,F11&gt;0),1-F11/C11,"")</x:f>
        <x:v>0.75</x:v>
      </x:c>
      <x:c r="AA11" s="2931" t="inlineStr">
        <x:is>
          <x:t xml:space="preserve">PASS</x:t>
        </x:is>
      </x:c>
      <x:c r="AB11" s="2931" t="inlineStr">
        <x:is>
          <x:t xml:space="preserve">PASS</x:t>
        </x:is>
      </x:c>
      <x:c r="AC11" s="2855" t="inlineStr">
        <x:is>
          <x:t xml:space="preserve">本轮 model-main ae058a98 + 6参数(无SoC带宽/延迟) 2026-09-26</x:t>
        </x:is>
      </x:c>
    </x:row>
    <x:row r="12" ht="20" customHeight="1">
      <x:c r="A12" s="2841" t="inlineStr">
        <x:is>
          <x:t xml:space="preserve">FP32</x:t>
        </x:is>
      </x:c>
      <x:c r="B12" s="2967" t="n">
        <x:v>2048</x:v>
      </x:c>
      <x:c r="C12" s="2967" t="n">
        <x:v>256</x:v>
      </x:c>
      <x:c r="D12" s="2967" t="n">
        <x:v>2048</x:v>
      </x:c>
      <x:c r="E12" s="2967" t="n">
        <x:v>128</x:v>
      </x:c>
      <x:c r="F12" s="2967" t="n">
        <x:v>64</x:v>
      </x:c>
      <x:c r="G12" s="2967" t="n">
        <x:v>256</x:v>
      </x:c>
      <x:c r="H12" s="2968" t="n">
        <x:v>128</x:v>
      </x:c>
      <x:c r="I12" s="2968" t="n">
        <x:v>64</x:v>
      </x:c>
      <x:c r="J12" s="2968" t="n">
        <x:v>192</x:v>
      </x:c>
      <x:c r="K12" s="2969" t="n">
        <x:v>128</x:v>
      </x:c>
      <x:c r="L12" s="2967" t="n">
        <x:v>2467981</x:v>
      </x:c>
      <x:c r="M12" s="2845" t="n">
        <x:f>IF(AND(ISNUMBER(L12),L12&gt;0),ROUND(B12*C12*D12/2048/L12*100,1)/100,"")</x:f>
        <x:v>0.212</x:v>
      </x:c>
      <x:c r="N12" s="2967" t="n">
        <x:f>IF(OR(B12="",C12="",D12="",E12="",F12="",G12=""),"",ROUNDUP(B12/MIN(E12,128),0)*(C12/F12)*(D12/G12)*((MIN(B12,MIN(E12,128))+F12)*G12*4/1024))</x:f>
        <x:v>98304</x:v>
      </x:c>
      <x:c r="O12" s="2846" t="n">
        <x:f>IF(AND(ISNUMBER(N12),ISNUMBER(K12),K12&gt;0),N12*1024/K12,"")</x:f>
        <x:v>786432</x:v>
      </x:c>
      <x:c r="P12" s="2847" t="n">
        <x:f>IF(OR(E12="",F12="",G12=""),"",((H12+I12)*1024)/(E12*F12*G12/2048))</x:f>
        <x:v>192</x:v>
      </x:c>
      <x:c r="Q12" s="2847" t="n">
        <x:f>IF(OR(E12="",F12="",G12=""),"",(E12*F12*4)/(E12*F12*G12/2048))</x:f>
        <x:v>32</x:v>
      </x:c>
      <x:c r="R12" s="2845" t="n">
        <x:f>IF(AND(ISNUMBER(K12),K12&gt;0,ISNUMBER(P12),P12&gt;0),MIN(1,K12/P12),"")</x:f>
        <x:v>0.6666666666666666</x:v>
      </x:c>
      <x:c r="S12" s="2845" t="n">
        <x:f>IF(AND(ISNUMBER(K12),K12&gt;0,ISNUMBER(Q12),Q12&gt;0),MIN(1,K12/Q12),"")</x:f>
        <x:v>1</x:v>
      </x:c>
      <x:c r="T12" s="2845" t="n">
        <x:f>IF(AND(ISNUMBER(R12),ISNUMBER(S12)),MIN(R12,S12),"")</x:f>
        <x:v>0.6666666666666666</x:v>
      </x:c>
      <x:c r="U12" s="2847" t="n">
        <x:f>IF(AND(ISNUMBER(M12),ISNUMBER(T12)),(M12-T12)*100,"")</x:f>
        <x:v>-45.46666666666667</x:v>
      </x:c>
      <x:c r="V12" s="2967" t="n">
        <x:v>1409849</x:v>
      </x:c>
      <x:c r="W12" s="2845" t="n">
        <x:v>0.372</x:v>
      </x:c>
      <x:c r="X12" s="2845" t="n">
        <x:f>IF(AND(ISNUMBER(L12),ISNUMBER(V12),L12&gt;0,V12&gt;0),(L12-V12)/L12,"")</x:f>
        <x:v>0.42874398141638853</x:v>
      </x:c>
      <x:c r="Y12" s="2955" t="n">
        <x:f>IF(AND(ISNUMBER(L12),ISNUMBER(V12),L12&gt;0,V12&gt;0),L12/V12,"")</x:f>
        <x:v>1.750528602708517</x:v>
      </x:c>
      <x:c r="Z12" s="2845" t="n">
        <x:f>IF(AND(ISNUMBER(C12),ISNUMBER(F12),C12&gt;0,F12&gt;0),1-F12/C12,"")</x:f>
        <x:v>0.75</x:v>
      </x:c>
      <x:c r="AA12" s="2931" t="inlineStr">
        <x:is>
          <x:t xml:space="preserve">PASS</x:t>
        </x:is>
      </x:c>
      <x:c r="AB12" s="2931" t="inlineStr">
        <x:is>
          <x:t xml:space="preserve">PASS</x:t>
        </x:is>
      </x:c>
      <x:c r="AC12" s="2855" t="inlineStr">
        <x:is>
          <x:t xml:space="preserve">本轮 model-main ae058a98 + 6参数(无SoC带宽/延迟) 2026-09-26</x:t>
        </x:is>
      </x:c>
    </x:row>
    <x:row r="13" ht="20" customHeight="1">
      <x:c r="A13" s="2841" t="inlineStr">
        <x:is>
          <x:t xml:space="preserve">FP32</x:t>
        </x:is>
      </x:c>
      <x:c r="B13" s="2967" t="n">
        <x:v>2048</x:v>
      </x:c>
      <x:c r="C13" s="2967" t="n">
        <x:v>256</x:v>
      </x:c>
      <x:c r="D13" s="2967" t="n">
        <x:v>2048</x:v>
      </x:c>
      <x:c r="E13" s="2967" t="n">
        <x:v>128</x:v>
      </x:c>
      <x:c r="F13" s="2967" t="n">
        <x:v>128</x:v>
      </x:c>
      <x:c r="G13" s="2967" t="n">
        <x:v>64</x:v>
      </x:c>
      <x:c r="H13" s="2968" t="n">
        <x:v>32</x:v>
      </x:c>
      <x:c r="I13" s="2968" t="n">
        <x:v>32</x:v>
      </x:c>
      <x:c r="J13" s="2968" t="n">
        <x:v>64</x:v>
      </x:c>
      <x:c r="K13" s="2969" t="n">
        <x:v>128</x:v>
      </x:c>
      <x:c r="L13" s="2967" t="n">
        <x:v>825301</x:v>
      </x:c>
      <x:c r="M13" s="2845" t="n">
        <x:f>IF(AND(ISNUMBER(L13),L13&gt;0),ROUND(B13*C13*D13/2048/L13*100,1)/100,"")</x:f>
        <x:v>0.635</x:v>
      </x:c>
      <x:c r="N13" s="2967" t="n">
        <x:f>IF(OR(B13="",C13="",D13="",E13="",F13="",G13=""),"",ROUNDUP(B13/MIN(E13,128),0)*(C13/F13)*(D13/G13)*((MIN(B13,MIN(E13,128))+F13)*G13*4/1024))</x:f>
        <x:v>65536</x:v>
      </x:c>
      <x:c r="O13" s="2846" t="n">
        <x:f>IF(AND(ISNUMBER(N13),ISNUMBER(K13),K13&gt;0),N13*1024/K13,"")</x:f>
        <x:v>524288</x:v>
      </x:c>
      <x:c r="P13" s="2847" t="n">
        <x:f>IF(OR(E13="",F13="",G13=""),"",((H13+I13)*1024)/(E13*F13*G13/2048))</x:f>
        <x:v>128</x:v>
      </x:c>
      <x:c r="Q13" s="2847" t="n">
        <x:f>IF(OR(E13="",F13="",G13=""),"",(E13*F13*4)/(E13*F13*G13/2048))</x:f>
        <x:v>128</x:v>
      </x:c>
      <x:c r="R13" s="2845" t="n">
        <x:f>IF(AND(ISNUMBER(K13),K13&gt;0,ISNUMBER(P13),P13&gt;0),MIN(1,K13/P13),"")</x:f>
        <x:v>1</x:v>
      </x:c>
      <x:c r="S13" s="2845" t="n">
        <x:f>IF(AND(ISNUMBER(K13),K13&gt;0,ISNUMBER(Q13),Q13&gt;0),MIN(1,K13/Q13),"")</x:f>
        <x:v>1</x:v>
      </x:c>
      <x:c r="T13" s="2845" t="n">
        <x:f>IF(AND(ISNUMBER(R13),ISNUMBER(S13)),MIN(R13,S13),"")</x:f>
        <x:v>1</x:v>
      </x:c>
      <x:c r="U13" s="2847" t="n">
        <x:f>IF(AND(ISNUMBER(M13),ISNUMBER(T13)),(M13-T13)*100,"")</x:f>
        <x:v>-36.5</x:v>
      </x:c>
      <x:c r="V13" s="2967" t="n">
        <x:v>529908</x:v>
      </x:c>
      <x:c r="W13" s="2845" t="n">
        <x:v>0.989</x:v>
      </x:c>
      <x:c r="X13" s="2845" t="n">
        <x:f>IF(AND(ISNUMBER(L13),ISNUMBER(V13),L13&gt;0,V13&gt;0),(L13-V13)/L13,"")</x:f>
        <x:v>0.3579215340827165</x:v>
      </x:c>
      <x:c r="Y13" s="2955" t="n">
        <x:f>IF(AND(ISNUMBER(L13),ISNUMBER(V13),L13&gt;0,V13&gt;0),L13/V13,"")</x:f>
        <x:v>1.5574420465439285</x:v>
      </x:c>
      <x:c r="Z13" s="2845" t="n">
        <x:f>IF(AND(ISNUMBER(C13),ISNUMBER(F13),C13&gt;0,F13&gt;0),1-F13/C13,"")</x:f>
        <x:v>0.5</x:v>
      </x:c>
      <x:c r="AA13" s="2931" t="inlineStr">
        <x:is>
          <x:t xml:space="preserve">PASS</x:t>
        </x:is>
      </x:c>
      <x:c r="AB13" s="2931" t="inlineStr">
        <x:is>
          <x:t xml:space="preserve">PASS</x:t>
        </x:is>
      </x:c>
      <x:c r="AC13" s="2855" t="inlineStr">
        <x:is>
          <x:t xml:space="preserve">本轮 model-main ae058a98 + 6参数(无SoC带宽/延迟) 2026-09-26</x:t>
        </x:is>
      </x:c>
    </x:row>
    <x:row r="14" ht="20" customHeight="1">
      <x:c r="A14" s="2943" t="inlineStr">
        <x:is>
          <x:t xml:space="preserve">FP32</x:t>
        </x:is>
      </x:c>
      <x:c r="B14" s="2970" t="n">
        <x:v>2048</x:v>
      </x:c>
      <x:c r="C14" s="2970" t="n">
        <x:v>256</x:v>
      </x:c>
      <x:c r="D14" s="2970" t="n">
        <x:v>2048</x:v>
      </x:c>
      <x:c r="E14" s="2970" t="n">
        <x:v>128</x:v>
      </x:c>
      <x:c r="F14" s="2970" t="n">
        <x:v>128</x:v>
      </x:c>
      <x:c r="G14" s="2970" t="n">
        <x:v>128</x:v>
      </x:c>
      <x:c r="H14" s="2971" t="n">
        <x:v>64</x:v>
      </x:c>
      <x:c r="I14" s="2971" t="n">
        <x:v>64</x:v>
      </x:c>
      <x:c r="J14" s="2971" t="n">
        <x:v>128</x:v>
      </x:c>
      <x:c r="K14" s="2972" t="n">
        <x:v>128</x:v>
      </x:c>
      <x:c r="L14" s="2970" t="n">
        <x:v>878937</x:v>
      </x:c>
      <x:c r="M14" s="2947" t="n">
        <x:f>IF(AND(ISNUMBER(L14),L14&gt;0),ROUND(B14*C14*D14/2048/L14*100,1)/100,"")</x:f>
        <x:v>0.597</x:v>
      </x:c>
      <x:c r="N14" s="2970" t="n">
        <x:f>IF(OR(B14="",C14="",D14="",E14="",F14="",G14=""),"",ROUNDUP(B14/MIN(E14,128),0)*(C14/F14)*(D14/G14)*((MIN(B14,MIN(E14,128))+F14)*G14*4/1024))</x:f>
        <x:v>65536</x:v>
      </x:c>
      <x:c r="O14" s="2948" t="n">
        <x:f>IF(AND(ISNUMBER(N14),ISNUMBER(K14),K14&gt;0),N14*1024/K14,"")</x:f>
        <x:v>524288</x:v>
      </x:c>
      <x:c r="P14" s="2949" t="n">
        <x:f>IF(OR(E14="",F14="",G14=""),"",((H14+I14)*1024)/(E14*F14*G14/2048))</x:f>
        <x:v>128</x:v>
      </x:c>
      <x:c r="Q14" s="2949" t="n">
        <x:f>IF(OR(E14="",F14="",G14=""),"",(E14*F14*4)/(E14*F14*G14/2048))</x:f>
        <x:v>64</x:v>
      </x:c>
      <x:c r="R14" s="2947" t="n">
        <x:f>IF(AND(ISNUMBER(K14),K14&gt;0,ISNUMBER(P14),P14&gt;0),MIN(1,K14/P14),"")</x:f>
        <x:v>1</x:v>
      </x:c>
      <x:c r="S14" s="2947" t="n">
        <x:f>IF(AND(ISNUMBER(K14),K14&gt;0,ISNUMBER(Q14),Q14&gt;0),MIN(1,K14/Q14),"")</x:f>
        <x:v>1</x:v>
      </x:c>
      <x:c r="T14" s="2947" t="n">
        <x:f>IF(AND(ISNUMBER(R14),ISNUMBER(S14)),MIN(R14,S14),"")</x:f>
        <x:v>1</x:v>
      </x:c>
      <x:c r="U14" s="2949" t="n">
        <x:f>IF(AND(ISNUMBER(M14),ISNUMBER(T14)),(M14-T14)*100,"")</x:f>
        <x:v>-40.300000000000004</x:v>
      </x:c>
      <x:c r="V14" s="2970" t="n">
        <x:v>528253</x:v>
      </x:c>
      <x:c r="W14" s="2947" t="n">
        <x:v>0.993</x:v>
      </x:c>
      <x:c r="X14" s="2947" t="n">
        <x:f>IF(AND(ISNUMBER(L14),ISNUMBER(V14),L14&gt;0,V14&gt;0),(L14-V14)/L14,"")</x:f>
        <x:v>0.3989865030144368</x:v>
      </x:c>
      <x:c r="Y14" s="2956" t="n">
        <x:f>IF(AND(ISNUMBER(L14),ISNUMBER(V14),L14&gt;0,V14&gt;0),L14/V14,"")</x:f>
        <x:v>1.663856144688246</x:v>
      </x:c>
      <x:c r="Z14" s="2947" t="n">
        <x:f>IF(AND(ISNUMBER(C14),ISNUMBER(F14),C14&gt;0,F14&gt;0),1-F14/C14,"")</x:f>
        <x:v>0.5</x:v>
      </x:c>
      <x:c r="AA14" s="2951" t="inlineStr">
        <x:is>
          <x:t xml:space="preserve">PASS</x:t>
        </x:is>
      </x:c>
      <x:c r="AB14" s="2951" t="inlineStr">
        <x:is>
          <x:t xml:space="preserve">PASS</x:t>
        </x:is>
      </x:c>
      <x:c r="AC14" s="2952" t="inlineStr">
        <x:is>
          <x:t xml:space="preserve">本轮 model-main ae058a98 + 6参数(无SoC带宽/延迟) 2026-09-26</x:t>
        </x:is>
      </x:c>
    </x:row>
    <x:row r="15" ht="20" customHeight="1">
      <x:c r="A15" s="2841" t="inlineStr">
        <x:is>
          <x:t xml:space="preserve">FP32</x:t>
        </x:is>
      </x:c>
      <x:c r="B15" s="2967" t="n">
        <x:v>2048</x:v>
      </x:c>
      <x:c r="C15" s="2967" t="n">
        <x:v>256</x:v>
      </x:c>
      <x:c r="D15" s="2967" t="n">
        <x:v>2048</x:v>
      </x:c>
      <x:c r="E15" s="2967" t="n">
        <x:v>128</x:v>
      </x:c>
      <x:c r="F15" s="2967" t="n">
        <x:v>128</x:v>
      </x:c>
      <x:c r="G15" s="2967" t="n">
        <x:v>256</x:v>
      </x:c>
      <x:c r="H15" s="2968" t="n">
        <x:v>128</x:v>
      </x:c>
      <x:c r="I15" s="2968" t="n">
        <x:v>128</x:v>
      </x:c>
      <x:c r="J15" s="2968" t="n">
        <x:v>256</x:v>
      </x:c>
      <x:c r="K15" s="2969" t="n">
        <x:v>128</x:v>
      </x:c>
      <x:c r="L15" s="2967" t="n">
        <x:v>1698905</x:v>
      </x:c>
      <x:c r="M15" s="2845" t="n">
        <x:f>IF(AND(ISNUMBER(L15),L15&gt;0),ROUND(B15*C15*D15/2048/L15*100,1)/100,"")</x:f>
        <x:v>0.309</x:v>
      </x:c>
      <x:c r="N15" s="2967" t="n">
        <x:f>IF(OR(B15="",C15="",D15="",E15="",F15="",G15=""),"",ROUNDUP(B15/MIN(E15,128),0)*(C15/F15)*(D15/G15)*((MIN(B15,MIN(E15,128))+F15)*G15*4/1024))</x:f>
        <x:v>65536</x:v>
      </x:c>
      <x:c r="O15" s="2846" t="n">
        <x:f>IF(AND(ISNUMBER(N15),ISNUMBER(K15),K15&gt;0),N15*1024/K15,"")</x:f>
        <x:v>524288</x:v>
      </x:c>
      <x:c r="P15" s="2847" t="n">
        <x:f>IF(OR(E15="",F15="",G15=""),"",((H15+I15)*1024)/(E15*F15*G15/2048))</x:f>
        <x:v>128</x:v>
      </x:c>
      <x:c r="Q15" s="2847" t="n">
        <x:f>IF(OR(E15="",F15="",G15=""),"",(E15*F15*4)/(E15*F15*G15/2048))</x:f>
        <x:v>32</x:v>
      </x:c>
      <x:c r="R15" s="2845" t="n">
        <x:f>IF(AND(ISNUMBER(K15),K15&gt;0,ISNUMBER(P15),P15&gt;0),MIN(1,K15/P15),"")</x:f>
        <x:v>1</x:v>
      </x:c>
      <x:c r="S15" s="2845" t="n">
        <x:f>IF(AND(ISNUMBER(K15),K15&gt;0,ISNUMBER(Q15),Q15&gt;0),MIN(1,K15/Q15),"")</x:f>
        <x:v>1</x:v>
      </x:c>
      <x:c r="T15" s="2845" t="n">
        <x:f>IF(AND(ISNUMBER(R15),ISNUMBER(S15)),MIN(R15,S15),"")</x:f>
        <x:v>1</x:v>
      </x:c>
      <x:c r="U15" s="2847" t="n">
        <x:f>IF(AND(ISNUMBER(M15),ISNUMBER(T15)),(M15-T15)*100,"")</x:f>
        <x:v>-69.10000000000001</x:v>
      </x:c>
      <x:c r="V15" s="2967" t="n">
        <x:v>1388987</x:v>
      </x:c>
      <x:c r="W15" s="2845" t="n">
        <x:v>0.378</x:v>
      </x:c>
      <x:c r="X15" s="2845" t="n">
        <x:f>IF(AND(ISNUMBER(L15),ISNUMBER(V15),L15&gt;0,V15&gt;0),(L15-V15)/L15,"")</x:f>
        <x:v>0.18242220724525504</x:v>
      </x:c>
      <x:c r="Y15" s="2955" t="n">
        <x:f>IF(AND(ISNUMBER(L15),ISNUMBER(V15),L15&gt;0,V15&gt;0),L15/V15,"")</x:f>
        <x:v>1.2231251984359826</x:v>
      </x:c>
      <x:c r="Z15" s="2845" t="n">
        <x:f>IF(AND(ISNUMBER(C15),ISNUMBER(F15),C15&gt;0,F15&gt;0),1-F15/C15,"")</x:f>
        <x:v>0.5</x:v>
      </x:c>
      <x:c r="AA15" s="2931" t="inlineStr">
        <x:is>
          <x:t xml:space="preserve">PASS</x:t>
        </x:is>
      </x:c>
      <x:c r="AB15" s="2931" t="inlineStr">
        <x:is>
          <x:t xml:space="preserve">PASS</x:t>
        </x:is>
      </x:c>
      <x:c r="AC15" s="2855" t="inlineStr">
        <x:is>
          <x:t xml:space="preserve">本轮 model-main ae058a98 + 6参数(无SoC带宽/延迟) 2026-09-26</x:t>
        </x:is>
      </x:c>
    </x:row>
    <x:row r="16" ht="20" customHeight="1">
      <x:c r="A16" s="2822" t="inlineStr">
        <x:is>
          <x:t xml:space="preserve">BF16</x:t>
        </x:is>
      </x:c>
      <x:c r="B16" s="2964" t="n"/>
      <x:c r="C16" s="2964" t="n"/>
      <x:c r="D16" s="2964" t="n"/>
      <x:c r="E16" s="2964" t="n"/>
      <x:c r="F16" s="2964" t="n"/>
      <x:c r="G16" s="2964" t="n"/>
      <x:c r="H16" s="2965" t="n"/>
      <x:c r="I16" s="2965" t="n"/>
      <x:c r="J16" s="2965" t="n"/>
      <x:c r="K16" s="2966"/>
      <x:c r="L16" s="2964" t="n"/>
      <x:c r="M16" s="2826" t="n"/>
      <x:c r="N16" s="2964" t="n"/>
      <x:c r="O16" s="2827" t="n"/>
      <x:c r="P16" s="2828" t="n"/>
      <x:c r="Q16" s="2828" t="n"/>
      <x:c r="R16" s="2826" t="n"/>
      <x:c r="S16" s="2826" t="n"/>
      <x:c r="T16" s="2826" t="n"/>
      <x:c r="U16" s="2828" t="n"/>
      <x:c r="V16" s="2964" t="n"/>
      <x:c r="W16" s="2826" t="n"/>
      <x:c r="X16" s="2826" t="n"/>
      <x:c r="Y16" s="2954" t="n"/>
      <x:c r="Z16" s="2826" t="n"/>
      <x:c r="AA16" s="2822" t="n"/>
      <x:c r="AB16" s="2822" t="n"/>
      <x:c r="AC16" s="2822" t="n"/>
    </x:row>
    <x:row r="17" ht="20" customHeight="1">
      <x:c r="A17" s="2866" t="inlineStr">
        <x:is>
          <x:t xml:space="preserve">BF16</x:t>
        </x:is>
      </x:c>
      <x:c r="B17" s="2973" t="n">
        <x:v>2048</x:v>
      </x:c>
      <x:c r="C17" s="2973" t="n">
        <x:v>256</x:v>
      </x:c>
      <x:c r="D17" s="2973" t="n">
        <x:v>2048</x:v>
      </x:c>
      <x:c r="E17" s="2973" t="n">
        <x:v>128</x:v>
      </x:c>
      <x:c r="F17" s="2973" t="n">
        <x:v>64</x:v>
      </x:c>
      <x:c r="G17" s="2973" t="n">
        <x:v>64</x:v>
      </x:c>
      <x:c r="H17" s="2974" t="n">
        <x:v>16</x:v>
      </x:c>
      <x:c r="I17" s="2974" t="n">
        <x:v>8</x:v>
      </x:c>
      <x:c r="J17" s="2974" t="n">
        <x:v>24</x:v>
      </x:c>
      <x:c r="K17" s="2975" t="n">
        <x:v>128</x:v>
      </x:c>
      <x:c r="L17" s="2973" t="n">
        <x:v>624542</x:v>
      </x:c>
      <x:c r="M17" s="2870" t="n">
        <x:f>IF(AND(ISNUMBER(L17),L17&gt;0),ROUND(B17*C17*D17/4096/L17*100,1)/100,"")</x:f>
        <x:v>0.42</x:v>
      </x:c>
      <x:c r="N17" s="2973" t="n">
        <x:f>IF(OR(B17="",C17="",D17="",E17="",F17="",G17=""),"",ROUNDUP(B17/MIN(E17,128),0)*(C17/F17)*(D17/G17)*((MIN(B17,MIN(E17,128))+F17)*G17*2/1024))</x:f>
        <x:v>49152</x:v>
      </x:c>
      <x:c r="O17" s="2871" t="n">
        <x:f>IF(AND(ISNUMBER(N17),ISNUMBER(K17),K17&gt;0),N17*1024/K17,"")</x:f>
        <x:v>393216</x:v>
      </x:c>
      <x:c r="P17" s="2872" t="n">
        <x:f>IF(OR(E17="",F17="",G17=""),"",((H17+I17)*1024)/(E17*F17*G17/4096))</x:f>
        <x:v>192</x:v>
      </x:c>
      <x:c r="Q17" s="2872" t="n">
        <x:f>IF(OR(E17="",F17="",G17=""),"",(E17*F17*4)/(E17*F17*G17/4096))</x:f>
        <x:v>256</x:v>
      </x:c>
      <x:c r="R17" s="2870" t="n">
        <x:f>IF(AND(ISNUMBER(K17),K17&gt;0,ISNUMBER(P17),P17&gt;0),MIN(1,K17/P17),"")</x:f>
        <x:v>0.6666666666666666</x:v>
      </x:c>
      <x:c r="S17" s="2870" t="n">
        <x:f>IF(AND(ISNUMBER(K17),K17&gt;0,ISNUMBER(Q17),Q17&gt;0),MIN(1,K17/Q17),"")</x:f>
        <x:v>0.5</x:v>
      </x:c>
      <x:c r="T17" s="2870" t="n">
        <x:f>IF(AND(ISNUMBER(R17),ISNUMBER(S17)),MIN(R17,S17),"")</x:f>
        <x:v>0.5</x:v>
      </x:c>
      <x:c r="U17" s="2872" t="n">
        <x:f>IF(AND(ISNUMBER(M17),ISNUMBER(T17)),(M17-T17)*100,"")</x:f>
        <x:v>-8.000000000000002</x:v>
      </x:c>
      <x:c r="V17" s="2973" t="n">
        <x:v>315396</x:v>
      </x:c>
      <x:c r="W17" s="2870" t="n">
        <x:v>1.662</x:v>
      </x:c>
      <x:c r="X17" s="2870" t="n">
        <x:f>IF(AND(ISNUMBER(L17),ISNUMBER(V17),L17&gt;0,V17&gt;0),(L17-V17)/L17,"")</x:f>
        <x:v>0.4949963333130518</x:v>
      </x:c>
      <x:c r="Y17" s="2957" t="n">
        <x:f>IF(AND(ISNUMBER(L17),ISNUMBER(V17),L17&gt;0,V17&gt;0),L17/V17,"")</x:f>
        <x:v>1.980183642151454</x:v>
      </x:c>
      <x:c r="Z17" s="2870" t="n">
        <x:f>IF(AND(ISNUMBER(C17),ISNUMBER(F17),C17&gt;0,F17&gt;0),1-F17/C17,"")</x:f>
        <x:v>0.75</x:v>
      </x:c>
      <x:c r="AA17" s="2933" t="inlineStr">
        <x:is>
          <x:t xml:space="preserve">PASS</x:t>
        </x:is>
      </x:c>
      <x:c r="AB17" s="2934" t="inlineStr">
        <x:is>
          <x:t xml:space="preserve">PASS</x:t>
        </x:is>
      </x:c>
      <x:c r="AC17" s="2880" t="inlineStr">
        <x:is>
          <x:t xml:space="preserve">本轮 model-main ae058a98 + 6参数(无SoC带宽/延迟) 2026-09-26</x:t>
        </x:is>
      </x:c>
    </x:row>
    <x:row r="18" ht="20" customHeight="1">
      <x:c r="A18" s="2866" t="inlineStr">
        <x:is>
          <x:t xml:space="preserve">BF16</x:t>
        </x:is>
      </x:c>
      <x:c r="B18" s="2973" t="n">
        <x:v>2048</x:v>
      </x:c>
      <x:c r="C18" s="2973" t="n">
        <x:v>256</x:v>
      </x:c>
      <x:c r="D18" s="2973" t="n">
        <x:v>2048</x:v>
      </x:c>
      <x:c r="E18" s="2973" t="n">
        <x:v>128</x:v>
      </x:c>
      <x:c r="F18" s="2973" t="n">
        <x:v>64</x:v>
      </x:c>
      <x:c r="G18" s="2973" t="n">
        <x:v>128</x:v>
      </x:c>
      <x:c r="H18" s="2974" t="n">
        <x:v>32</x:v>
      </x:c>
      <x:c r="I18" s="2974" t="n">
        <x:v>16</x:v>
      </x:c>
      <x:c r="J18" s="2974" t="n">
        <x:v>48</x:v>
      </x:c>
      <x:c r="K18" s="2975" t="n">
        <x:v>128</x:v>
      </x:c>
      <x:c r="L18" s="2973" t="n">
        <x:v>625519</x:v>
      </x:c>
      <x:c r="M18" s="2870" t="n">
        <x:f>IF(AND(ISNUMBER(L18),L18&gt;0),ROUND(B18*C18*D18/4096/L18*100,1)/100,"")</x:f>
        <x:v>0.419</x:v>
      </x:c>
      <x:c r="N18" s="2973" t="n">
        <x:f>IF(OR(B18="",C18="",D18="",E18="",F18="",G18=""),"",ROUNDUP(B18/MIN(E18,128),0)*(C18/F18)*(D18/G18)*((MIN(B18,MIN(E18,128))+F18)*G18*2/1024))</x:f>
        <x:v>49152</x:v>
      </x:c>
      <x:c r="O18" s="2871" t="n">
        <x:f>IF(AND(ISNUMBER(N18),ISNUMBER(K18),K18&gt;0),N18*1024/K18,"")</x:f>
        <x:v>393216</x:v>
      </x:c>
      <x:c r="P18" s="2872" t="n">
        <x:f>IF(OR(E18="",F18="",G18=""),"",((H18+I18)*1024)/(E18*F18*G18/4096))</x:f>
        <x:v>192</x:v>
      </x:c>
      <x:c r="Q18" s="2872" t="n">
        <x:f>IF(OR(E18="",F18="",G18=""),"",(E18*F18*4)/(E18*F18*G18/4096))</x:f>
        <x:v>128</x:v>
      </x:c>
      <x:c r="R18" s="2870" t="n">
        <x:f>IF(AND(ISNUMBER(K18),K18&gt;0,ISNUMBER(P18),P18&gt;0),MIN(1,K18/P18),"")</x:f>
        <x:v>0.6666666666666666</x:v>
      </x:c>
      <x:c r="S18" s="2870" t="n">
        <x:f>IF(AND(ISNUMBER(K18),K18&gt;0,ISNUMBER(Q18),Q18&gt;0),MIN(1,K18/Q18),"")</x:f>
        <x:v>1</x:v>
      </x:c>
      <x:c r="T18" s="2870" t="n">
        <x:f>IF(AND(ISNUMBER(R18),ISNUMBER(S18)),MIN(R18,S18),"")</x:f>
        <x:v>0.6666666666666666</x:v>
      </x:c>
      <x:c r="U18" s="2872" t="n">
        <x:f>IF(AND(ISNUMBER(M18),ISNUMBER(T18)),(M18-T18)*100,"")</x:f>
        <x:v>-24.766666666666666</x:v>
      </x:c>
      <x:c r="V18" s="2973" t="n">
        <x:v>268863</x:v>
      </x:c>
      <x:c r="W18" s="2870" t="n">
        <x:v>1.95</x:v>
      </x:c>
      <x:c r="X18" s="2870" t="n">
        <x:f>IF(AND(ISNUMBER(L18),ISNUMBER(V18),L18&gt;0,V18&gt;0),(L18-V18)/L18,"")</x:f>
        <x:v>0.5701761257451812</x:v>
      </x:c>
      <x:c r="Y18" s="2957" t="n">
        <x:f>IF(AND(ISNUMBER(L18),ISNUMBER(V18),L18&gt;0,V18&gt;0),L18/V18,"")</x:f>
        <x:v>2.3265343316112665</x:v>
      </x:c>
      <x:c r="Z18" s="2870" t="n">
        <x:f>IF(AND(ISNUMBER(C18),ISNUMBER(F18),C18&gt;0,F18&gt;0),1-F18/C18,"")</x:f>
        <x:v>0.75</x:v>
      </x:c>
      <x:c r="AA18" s="2933" t="inlineStr">
        <x:is>
          <x:t xml:space="preserve">PASS</x:t>
        </x:is>
      </x:c>
      <x:c r="AB18" s="2933" t="inlineStr">
        <x:is>
          <x:t xml:space="preserve">PASS</x:t>
        </x:is>
      </x:c>
      <x:c r="AC18" s="2880" t="inlineStr">
        <x:is>
          <x:t xml:space="preserve">本轮 model-main ae058a98 + 6参数(无SoC带宽/延迟) 2026-09-26</x:t>
        </x:is>
      </x:c>
    </x:row>
    <x:row r="19" ht="20" customHeight="1">
      <x:c r="A19" s="2866" t="inlineStr">
        <x:is>
          <x:t xml:space="preserve">BF16</x:t>
        </x:is>
      </x:c>
      <x:c r="B19" s="2973" t="n">
        <x:v>2048</x:v>
      </x:c>
      <x:c r="C19" s="2973" t="n">
        <x:v>256</x:v>
      </x:c>
      <x:c r="D19" s="2973" t="n">
        <x:v>2048</x:v>
      </x:c>
      <x:c r="E19" s="2973" t="n">
        <x:v>128</x:v>
      </x:c>
      <x:c r="F19" s="2973" t="n">
        <x:v>64</x:v>
      </x:c>
      <x:c r="G19" s="2973" t="n">
        <x:v>256</x:v>
      </x:c>
      <x:c r="H19" s="2974" t="n">
        <x:v>64</x:v>
      </x:c>
      <x:c r="I19" s="2974" t="n">
        <x:v>32</x:v>
      </x:c>
      <x:c r="J19" s="2974" t="n">
        <x:v>96</x:v>
      </x:c>
      <x:c r="K19" s="2975" t="n">
        <x:v>128</x:v>
      </x:c>
      <x:c r="L19" s="2973" t="n">
        <x:v>625221</x:v>
      </x:c>
      <x:c r="M19" s="2870" t="n">
        <x:f>IF(AND(ISNUMBER(L19),L19&gt;0),ROUND(B19*C19*D19/4096/L19*100,1)/100,"")</x:f>
        <x:v>0.419</x:v>
      </x:c>
      <x:c r="N19" s="2973" t="n">
        <x:f>IF(OR(B19="",C19="",D19="",E19="",F19="",G19=""),"",ROUNDUP(B19/MIN(E19,128),0)*(C19/F19)*(D19/G19)*((MIN(B19,MIN(E19,128))+F19)*G19*2/1024))</x:f>
        <x:v>49152</x:v>
      </x:c>
      <x:c r="O19" s="2871" t="n">
        <x:f>IF(AND(ISNUMBER(N19),ISNUMBER(K19),K19&gt;0),N19*1024/K19,"")</x:f>
        <x:v>393216</x:v>
      </x:c>
      <x:c r="P19" s="2872" t="n">
        <x:f>IF(OR(E19="",F19="",G19=""),"",((H19+I19)*1024)/(E19*F19*G19/4096))</x:f>
        <x:v>192</x:v>
      </x:c>
      <x:c r="Q19" s="2872" t="n">
        <x:f>IF(OR(E19="",F19="",G19=""),"",(E19*F19*4)/(E19*F19*G19/4096))</x:f>
        <x:v>64</x:v>
      </x:c>
      <x:c r="R19" s="2870" t="n">
        <x:f>IF(AND(ISNUMBER(K19),K19&gt;0,ISNUMBER(P19),P19&gt;0),MIN(1,K19/P19),"")</x:f>
        <x:v>0.6666666666666666</x:v>
      </x:c>
      <x:c r="S19" s="2870" t="n">
        <x:f>IF(AND(ISNUMBER(K19),K19&gt;0,ISNUMBER(Q19),Q19&gt;0),MIN(1,K19/Q19),"")</x:f>
        <x:v>1</x:v>
      </x:c>
      <x:c r="T19" s="2870" t="n">
        <x:f>IF(AND(ISNUMBER(R19),ISNUMBER(S19)),MIN(R19,S19),"")</x:f>
        <x:v>0.6666666666666666</x:v>
      </x:c>
      <x:c r="U19" s="2872" t="n">
        <x:f>IF(AND(ISNUMBER(M19),ISNUMBER(T19)),(M19-T19)*100,"")</x:f>
        <x:v>-24.766666666666666</x:v>
      </x:c>
      <x:c r="V19" s="2973" t="n">
        <x:v>269178</x:v>
      </x:c>
      <x:c r="W19" s="2870" t="n">
        <x:v>1.948</x:v>
      </x:c>
      <x:c r="X19" s="2870" t="n">
        <x:f>IF(AND(ISNUMBER(L19),ISNUMBER(V19),L19&gt;0,V19&gt;0),(L19-V19)/L19,"")</x:f>
        <x:v>0.5694674363145192</x:v>
      </x:c>
      <x:c r="Y19" s="2957" t="n">
        <x:f>IF(AND(ISNUMBER(L19),ISNUMBER(V19),L19&gt;0,V19&gt;0),L19/V19,"")</x:f>
        <x:v>2.3227046786884515</x:v>
      </x:c>
      <x:c r="Z19" s="2870" t="n">
        <x:f>IF(AND(ISNUMBER(C19),ISNUMBER(F19),C19&gt;0,F19&gt;0),1-F19/C19,"")</x:f>
        <x:v>0.75</x:v>
      </x:c>
      <x:c r="AA19" s="2933" t="inlineStr">
        <x:is>
          <x:t xml:space="preserve">PASS</x:t>
        </x:is>
      </x:c>
      <x:c r="AB19" s="2933" t="inlineStr">
        <x:is>
          <x:t xml:space="preserve">PASS</x:t>
        </x:is>
      </x:c>
      <x:c r="AC19" s="2880" t="inlineStr">
        <x:is>
          <x:t xml:space="preserve">本轮 model-main ae058a98 + 6参数(无SoC带宽/延迟) 2026-09-26</x:t>
        </x:is>
      </x:c>
    </x:row>
    <x:row r="20" ht="20" customHeight="1">
      <x:c r="A20" s="2866" t="inlineStr">
        <x:is>
          <x:t xml:space="preserve">BF16</x:t>
        </x:is>
      </x:c>
      <x:c r="B20" s="2973" t="n">
        <x:v>2048</x:v>
      </x:c>
      <x:c r="C20" s="2973" t="n">
        <x:v>256</x:v>
      </x:c>
      <x:c r="D20" s="2973" t="n">
        <x:v>2048</x:v>
      </x:c>
      <x:c r="E20" s="2973" t="n">
        <x:v>128</x:v>
      </x:c>
      <x:c r="F20" s="2973" t="n">
        <x:v>128</x:v>
      </x:c>
      <x:c r="G20" s="2973" t="n">
        <x:v>64</x:v>
      </x:c>
      <x:c r="H20" s="2974" t="n">
        <x:v>16</x:v>
      </x:c>
      <x:c r="I20" s="2974" t="n">
        <x:v>16</x:v>
      </x:c>
      <x:c r="J20" s="2974" t="n">
        <x:v>32</x:v>
      </x:c>
      <x:c r="K20" s="2975" t="n">
        <x:v>128</x:v>
      </x:c>
      <x:c r="L20" s="2973" t="n">
        <x:v>418408</x:v>
      </x:c>
      <x:c r="M20" s="2870" t="n">
        <x:f>IF(AND(ISNUMBER(L20),L20&gt;0),ROUND(B20*C20*D20/4096/L20*100,1)/100,"")</x:f>
        <x:v>0.627</x:v>
      </x:c>
      <x:c r="N20" s="2973" t="n">
        <x:f>IF(OR(B20="",C20="",D20="",E20="",F20="",G20=""),"",ROUNDUP(B20/MIN(E20,128),0)*(C20/F20)*(D20/G20)*((MIN(B20,MIN(E20,128))+F20)*G20*2/1024))</x:f>
        <x:v>32768</x:v>
      </x:c>
      <x:c r="O20" s="2871" t="n">
        <x:f>IF(AND(ISNUMBER(N20),ISNUMBER(K20),K20&gt;0),N20*1024/K20,"")</x:f>
        <x:v>262144</x:v>
      </x:c>
      <x:c r="P20" s="2872" t="n">
        <x:f>IF(OR(E20="",F20="",G20=""),"",((H20+I20)*1024)/(E20*F20*G20/4096))</x:f>
        <x:v>128</x:v>
      </x:c>
      <x:c r="Q20" s="2872" t="n">
        <x:f>IF(OR(E20="",F20="",G20=""),"",(E20*F20*4)/(E20*F20*G20/4096))</x:f>
        <x:v>256</x:v>
      </x:c>
      <x:c r="R20" s="2870" t="n">
        <x:f>IF(AND(ISNUMBER(K20),K20&gt;0,ISNUMBER(P20),P20&gt;0),MIN(1,K20/P20),"")</x:f>
        <x:v>1</x:v>
      </x:c>
      <x:c r="S20" s="2870" t="n">
        <x:f>IF(AND(ISNUMBER(K20),K20&gt;0,ISNUMBER(Q20),Q20&gt;0),MIN(1,K20/Q20),"")</x:f>
        <x:v>0.5</x:v>
      </x:c>
      <x:c r="T20" s="2870" t="n">
        <x:f>IF(AND(ISNUMBER(R20),ISNUMBER(S20)),MIN(R20,S20),"")</x:f>
        <x:v>0.5</x:v>
      </x:c>
      <x:c r="U20" s="2872" t="n">
        <x:f>IF(AND(ISNUMBER(M20),ISNUMBER(T20)),(M20-T20)*100,"")</x:f>
        <x:v>12.7</x:v>
      </x:c>
      <x:c r="V20" s="2973" t="n">
        <x:v>314474</x:v>
      </x:c>
      <x:c r="W20" s="2870" t="n">
        <x:v>1.667</x:v>
      </x:c>
      <x:c r="X20" s="2870" t="n">
        <x:f>IF(AND(ISNUMBER(L20),ISNUMBER(V20),L20&gt;0,V20&gt;0),(L20-V20)/L20,"")</x:f>
        <x:v>0.24840347220894438</x:v>
      </x:c>
      <x:c r="Y20" s="2957" t="n">
        <x:f>IF(AND(ISNUMBER(L20),ISNUMBER(V20),L20&gt;0,V20&gt;0),L20/V20,"")</x:f>
        <x:v>1.3305010907102017</x:v>
      </x:c>
      <x:c r="Z20" s="2870" t="n">
        <x:f>IF(AND(ISNUMBER(C20),ISNUMBER(F20),C20&gt;0,F20&gt;0),1-F20/C20,"")</x:f>
        <x:v>0.5</x:v>
      </x:c>
      <x:c r="AA20" s="2933" t="inlineStr">
        <x:is>
          <x:t xml:space="preserve">PASS</x:t>
        </x:is>
      </x:c>
      <x:c r="AB20" s="2933" t="inlineStr">
        <x:is>
          <x:t xml:space="preserve">PASS</x:t>
        </x:is>
      </x:c>
      <x:c r="AC20" s="2880" t="inlineStr">
        <x:is>
          <x:t xml:space="preserve">本轮 model-main ae058a98 + 6参数(无SoC带宽/延迟) 2026-09-26</x:t>
        </x:is>
      </x:c>
    </x:row>
    <x:row r="21" ht="20" customHeight="1">
      <x:c r="A21" s="2943" t="inlineStr">
        <x:is>
          <x:t xml:space="preserve">BF16</x:t>
        </x:is>
      </x:c>
      <x:c r="B21" s="2970" t="n">
        <x:v>2048</x:v>
      </x:c>
      <x:c r="C21" s="2970" t="n">
        <x:v>256</x:v>
      </x:c>
      <x:c r="D21" s="2970" t="n">
        <x:v>2048</x:v>
      </x:c>
      <x:c r="E21" s="2970" t="n">
        <x:v>128</x:v>
      </x:c>
      <x:c r="F21" s="2970" t="n">
        <x:v>128</x:v>
      </x:c>
      <x:c r="G21" s="2970" t="n">
        <x:v>128</x:v>
      </x:c>
      <x:c r="H21" s="2971" t="n">
        <x:v>32</x:v>
      </x:c>
      <x:c r="I21" s="2971" t="n">
        <x:v>32</x:v>
      </x:c>
      <x:c r="J21" s="2971" t="n">
        <x:v>64</x:v>
      </x:c>
      <x:c r="K21" s="2972" t="n">
        <x:v>128</x:v>
      </x:c>
      <x:c r="L21" s="2970" t="n">
        <x:v>418767</x:v>
      </x:c>
      <x:c r="M21" s="2947" t="n">
        <x:f>IF(AND(ISNUMBER(L21),L21&gt;0),ROUND(B21*C21*D21/4096/L21*100,1)/100,"")</x:f>
        <x:v>0.626</x:v>
      </x:c>
      <x:c r="N21" s="2970" t="n">
        <x:f>IF(OR(B21="",C21="",D21="",E21="",F21="",G21=""),"",ROUNDUP(B21/MIN(E21,128),0)*(C21/F21)*(D21/G21)*((MIN(B21,MIN(E21,128))+F21)*G21*2/1024))</x:f>
        <x:v>32768</x:v>
      </x:c>
      <x:c r="O21" s="2948" t="n">
        <x:f>IF(AND(ISNUMBER(N21),ISNUMBER(K21),K21&gt;0),N21*1024/K21,"")</x:f>
        <x:v>262144</x:v>
      </x:c>
      <x:c r="P21" s="2949" t="n">
        <x:f>IF(OR(E21="",F21="",G21=""),"",((H21+I21)*1024)/(E21*F21*G21/4096))</x:f>
        <x:v>128</x:v>
      </x:c>
      <x:c r="Q21" s="2949" t="n">
        <x:f>IF(OR(E21="",F21="",G21=""),"",(E21*F21*4)/(E21*F21*G21/4096))</x:f>
        <x:v>128</x:v>
      </x:c>
      <x:c r="R21" s="2947" t="n">
        <x:f>IF(AND(ISNUMBER(K21),K21&gt;0,ISNUMBER(P21),P21&gt;0),MIN(1,K21/P21),"")</x:f>
        <x:v>1</x:v>
      </x:c>
      <x:c r="S21" s="2947" t="n">
        <x:f>IF(AND(ISNUMBER(K21),K21&gt;0,ISNUMBER(Q21),Q21&gt;0),MIN(1,K21/Q21),"")</x:f>
        <x:v>1</x:v>
      </x:c>
      <x:c r="T21" s="2947" t="n">
        <x:f>IF(AND(ISNUMBER(R21),ISNUMBER(S21)),MIN(R21,S21),"")</x:f>
        <x:v>1</x:v>
      </x:c>
      <x:c r="U21" s="2949" t="n">
        <x:f>IF(AND(ISNUMBER(M21),ISNUMBER(T21)),(M21-T21)*100,"")</x:f>
        <x:v>-37.4</x:v>
      </x:c>
      <x:c r="V21" s="2970" t="n">
        <x:v>266260</x:v>
      </x:c>
      <x:c r="W21" s="2947" t="n">
        <x:v>1.969</x:v>
      </x:c>
      <x:c r="X21" s="2947" t="n">
        <x:f>IF(AND(ISNUMBER(L21),ISNUMBER(V21),L21&gt;0,V21&gt;0),(L21-V21)/L21,"")</x:f>
        <x:v>0.36418103623255893</x:v>
      </x:c>
      <x:c r="Y21" s="2956" t="n">
        <x:f>IF(AND(ISNUMBER(L21),ISNUMBER(V21),L21&gt;0,V21&gt;0),L21/V21,"")</x:f>
        <x:v>1.572774731465485</x:v>
      </x:c>
      <x:c r="Z21" s="2947" t="n">
        <x:f>IF(AND(ISNUMBER(C21),ISNUMBER(F21),C21&gt;0,F21&gt;0),1-F21/C21,"")</x:f>
        <x:v>0.5</x:v>
      </x:c>
      <x:c r="AA21" s="2951" t="inlineStr">
        <x:is>
          <x:t xml:space="preserve">PASS</x:t>
        </x:is>
      </x:c>
      <x:c r="AB21" s="2951" t="inlineStr">
        <x:is>
          <x:t xml:space="preserve">PASS</x:t>
        </x:is>
      </x:c>
      <x:c r="AC21" s="2952" t="inlineStr">
        <x:is>
          <x:t xml:space="preserve">本轮 model-main ae058a98 + 6参数(无SoC带宽/延迟) 2026-09-26</x:t>
        </x:is>
      </x:c>
    </x:row>
    <x:row r="22" ht="20" customHeight="1">
      <x:c r="A22" s="2866" t="inlineStr">
        <x:is>
          <x:t xml:space="preserve">BF16</x:t>
        </x:is>
      </x:c>
      <x:c r="B22" s="2973" t="n">
        <x:v>2048</x:v>
      </x:c>
      <x:c r="C22" s="2973" t="n">
        <x:v>256</x:v>
      </x:c>
      <x:c r="D22" s="2973" t="n">
        <x:v>2048</x:v>
      </x:c>
      <x:c r="E22" s="2973" t="n">
        <x:v>128</x:v>
      </x:c>
      <x:c r="F22" s="2973" t="n">
        <x:v>128</x:v>
      </x:c>
      <x:c r="G22" s="2973" t="n">
        <x:v>256</x:v>
      </x:c>
      <x:c r="H22" s="2974" t="n">
        <x:v>64</x:v>
      </x:c>
      <x:c r="I22" s="2974" t="n">
        <x:v>64</x:v>
      </x:c>
      <x:c r="J22" s="2974" t="n">
        <x:v>128</x:v>
      </x:c>
      <x:c r="K22" s="2975" t="n">
        <x:v>128</x:v>
      </x:c>
      <x:c r="L22" s="2973" t="n">
        <x:v>448383</x:v>
      </x:c>
      <x:c r="M22" s="2870" t="n">
        <x:f>IF(AND(ISNUMBER(L22),L22&gt;0),ROUND(B22*C22*D22/4096/L22*100,1)/100,"")</x:f>
        <x:v>0.585</x:v>
      </x:c>
      <x:c r="N22" s="2973" t="n">
        <x:f>IF(OR(B22="",C22="",D22="",E22="",F22="",G22=""),"",ROUNDUP(B22/MIN(E22,128),0)*(C22/F22)*(D22/G22)*((MIN(B22,MIN(E22,128))+F22)*G22*2/1024))</x:f>
        <x:v>32768</x:v>
      </x:c>
      <x:c r="O22" s="2871" t="n">
        <x:f>IF(AND(ISNUMBER(N22),ISNUMBER(K22),K22&gt;0),N22*1024/K22,"")</x:f>
        <x:v>262144</x:v>
      </x:c>
      <x:c r="P22" s="2872" t="n">
        <x:f>IF(OR(E22="",F22="",G22=""),"",((H22+I22)*1024)/(E22*F22*G22/4096))</x:f>
        <x:v>128</x:v>
      </x:c>
      <x:c r="Q22" s="2872" t="n">
        <x:f>IF(OR(E22="",F22="",G22=""),"",(E22*F22*4)/(E22*F22*G22/4096))</x:f>
        <x:v>64</x:v>
      </x:c>
      <x:c r="R22" s="2870" t="n">
        <x:f>IF(AND(ISNUMBER(K22),K22&gt;0,ISNUMBER(P22),P22&gt;0),MIN(1,K22/P22),"")</x:f>
        <x:v>1</x:v>
      </x:c>
      <x:c r="S22" s="2870" t="n">
        <x:f>IF(AND(ISNUMBER(K22),K22&gt;0,ISNUMBER(Q22),Q22&gt;0),MIN(1,K22/Q22),"")</x:f>
        <x:v>1</x:v>
      </x:c>
      <x:c r="T22" s="2870" t="n">
        <x:f>IF(AND(ISNUMBER(R22),ISNUMBER(S22)),MIN(R22,S22),"")</x:f>
        <x:v>1</x:v>
      </x:c>
      <x:c r="U22" s="2872" t="n">
        <x:f>IF(AND(ISNUMBER(M22),ISNUMBER(T22)),(M22-T22)*100,"")</x:f>
        <x:v>-41.5</x:v>
      </x:c>
      <x:c r="V22" s="2973" t="n">
        <x:v>267390</x:v>
      </x:c>
      <x:c r="W22" s="2870" t="n">
        <x:v>1.961</x:v>
      </x:c>
      <x:c r="X22" s="2870" t="n">
        <x:f>IF(AND(ISNUMBER(L22),ISNUMBER(V22),L22&gt;0,V22&gt;0),(L22-V22)/L22,"")</x:f>
        <x:v>0.40365714132783803</x:v>
      </x:c>
      <x:c r="Y22" s="2957" t="n">
        <x:f>IF(AND(ISNUMBER(L22),ISNUMBER(V22),L22&gt;0,V22&gt;0),L22/V22,"")</x:f>
        <x:v>1.6768876921350835</x:v>
      </x:c>
      <x:c r="Z22" s="2870" t="n">
        <x:f>IF(AND(ISNUMBER(C22),ISNUMBER(F22),C22&gt;0,F22&gt;0),1-F22/C22,"")</x:f>
        <x:v>0.5</x:v>
      </x:c>
      <x:c r="AA22" s="2933" t="inlineStr">
        <x:is>
          <x:t xml:space="preserve">PASS</x:t>
        </x:is>
      </x:c>
      <x:c r="AB22" s="2933" t="inlineStr">
        <x:is>
          <x:t xml:space="preserve">PASS</x:t>
        </x:is>
      </x:c>
      <x:c r="AC22" s="2880" t="inlineStr">
        <x:is>
          <x:t xml:space="preserve">本轮 model-main ae058a98 + 6参数(无SoC带宽/延迟) 2026-09-26</x:t>
        </x:is>
      </x:c>
    </x:row>
    <x:row r="23" ht="20" customHeight="1">
      <x:c r="A23" s="2866" t="inlineStr">
        <x:is>
          <x:t xml:space="preserve">BF16</x:t>
        </x:is>
      </x:c>
      <x:c r="B23" s="2973" t="n">
        <x:v>2048</x:v>
      </x:c>
      <x:c r="C23" s="2973" t="n">
        <x:v>256</x:v>
      </x:c>
      <x:c r="D23" s="2973" t="n">
        <x:v>2048</x:v>
      </x:c>
      <x:c r="E23" s="2973" t="n">
        <x:v>128</x:v>
      </x:c>
      <x:c r="F23" s="2973" t="n">
        <x:v>256</x:v>
      </x:c>
      <x:c r="G23" s="2973" t="n">
        <x:v>64</x:v>
      </x:c>
      <x:c r="H23" s="2974" t="n">
        <x:v>16</x:v>
      </x:c>
      <x:c r="I23" s="2974" t="n">
        <x:v>32</x:v>
      </x:c>
      <x:c r="J23" s="2974" t="n">
        <x:v>48</x:v>
      </x:c>
      <x:c r="K23" s="2975" t="n">
        <x:v>128</x:v>
      </x:c>
      <x:c r="L23" s="2973" t="n">
        <x:v>317520</x:v>
      </x:c>
      <x:c r="M23" s="2870" t="n">
        <x:f>IF(AND(ISNUMBER(L23),L23&gt;0),ROUND(B23*C23*D23/4096/L23*100,1)/100,"")</x:f>
        <x:v>0.826</x:v>
      </x:c>
      <x:c r="N23" s="2973" t="n">
        <x:f>IF(OR(B23="",C23="",D23="",E23="",F23="",G23=""),"",ROUNDUP(B23/MIN(E23,128),0)*(C23/F23)*(D23/G23)*((MIN(B23,MIN(E23,128))+F23)*G23*2/1024))</x:f>
        <x:v>24576</x:v>
      </x:c>
      <x:c r="O23" s="2871" t="n">
        <x:f>IF(AND(ISNUMBER(N23),ISNUMBER(K23),K23&gt;0),N23*1024/K23,"")</x:f>
        <x:v>196608</x:v>
      </x:c>
      <x:c r="P23" s="2872" t="n">
        <x:f>IF(OR(E23="",F23="",G23=""),"",((H23+I23)*1024)/(E23*F23*G23/4096))</x:f>
        <x:v>96</x:v>
      </x:c>
      <x:c r="Q23" s="2872" t="n">
        <x:f>IF(OR(E23="",F23="",G23=""),"",(E23*F23*4)/(E23*F23*G23/4096))</x:f>
        <x:v>256</x:v>
      </x:c>
      <x:c r="R23" s="2870" t="n">
        <x:f>IF(AND(ISNUMBER(K23),K23&gt;0,ISNUMBER(P23),P23&gt;0),MIN(1,K23/P23),"")</x:f>
        <x:v>1</x:v>
      </x:c>
      <x:c r="S23" s="2870" t="n">
        <x:f>IF(AND(ISNUMBER(K23),K23&gt;0,ISNUMBER(Q23),Q23&gt;0),MIN(1,K23/Q23),"")</x:f>
        <x:v>0.5</x:v>
      </x:c>
      <x:c r="T23" s="2870" t="n">
        <x:f>IF(AND(ISNUMBER(R23),ISNUMBER(S23)),MIN(R23,S23),"")</x:f>
        <x:v>0.5</x:v>
      </x:c>
      <x:c r="U23" s="2872" t="n">
        <x:f>IF(AND(ISNUMBER(M23),ISNUMBER(T23)),(M23-T23)*100,"")</x:f>
        <x:v>32.599999999999994</x:v>
      </x:c>
      <x:c r="V23" s="2973" t="n">
        <x:v>316590</x:v>
      </x:c>
      <x:c r="W23" s="2870" t="n">
        <x:v>1.656</x:v>
      </x:c>
      <x:c r="X23" s="2870" t="n">
        <x:f>IF(AND(ISNUMBER(L23),ISNUMBER(V23),L23&gt;0,V23&gt;0),(L23-V23)/L23,"")</x:f>
        <x:v>0.002928949357520786</x:v>
      </x:c>
      <x:c r="Y23" s="2957" t="n">
        <x:f>IF(AND(ISNUMBER(L23),ISNUMBER(V23),L23&gt;0,V23&gt;0),L23/V23,"")</x:f>
        <x:v>1.0029375533023785</x:v>
      </x:c>
      <x:c r="Z23" s="2870" t="n">
        <x:f>IF(AND(ISNUMBER(C23),ISNUMBER(F23),C23&gt;0,F23&gt;0),1-F23/C23,"")</x:f>
        <x:v>0</x:v>
      </x:c>
      <x:c r="AA23" s="2933" t="inlineStr">
        <x:is>
          <x:t xml:space="preserve">PASS</x:t>
        </x:is>
      </x:c>
      <x:c r="AB23" s="2933" t="inlineStr">
        <x:is>
          <x:t xml:space="preserve">PASS</x:t>
        </x:is>
      </x:c>
      <x:c r="AC23" s="2880" t="inlineStr">
        <x:is>
          <x:t xml:space="preserve">本轮 model-main ae058a98 + 6参数(无SoC带宽/延迟) 2026-09-26</x:t>
        </x:is>
      </x:c>
    </x:row>
    <x:row r="24" ht="20" customHeight="1">
      <x:c r="A24" s="2866" t="inlineStr">
        <x:is>
          <x:t xml:space="preserve">BF16</x:t>
        </x:is>
      </x:c>
      <x:c r="B24" s="2973" t="n">
        <x:v>2048</x:v>
      </x:c>
      <x:c r="C24" s="2973" t="n">
        <x:v>256</x:v>
      </x:c>
      <x:c r="D24" s="2973" t="n">
        <x:v>2048</x:v>
      </x:c>
      <x:c r="E24" s="2973" t="n">
        <x:v>128</x:v>
      </x:c>
      <x:c r="F24" s="2973" t="n">
        <x:v>256</x:v>
      </x:c>
      <x:c r="G24" s="2973" t="n">
        <x:v>128</x:v>
      </x:c>
      <x:c r="H24" s="2974" t="n">
        <x:v>32</x:v>
      </x:c>
      <x:c r="I24" s="2974" t="n">
        <x:v>64</x:v>
      </x:c>
      <x:c r="J24" s="2974" t="n">
        <x:v>96</x:v>
      </x:c>
      <x:c r="K24" s="2975" t="n">
        <x:v>128</x:v>
      </x:c>
      <x:c r="L24" s="2973" t="n">
        <x:v>327132</x:v>
      </x:c>
      <x:c r="M24" s="2870" t="n">
        <x:f>IF(AND(ISNUMBER(L24),L24&gt;0),ROUND(B24*C24*D24/4096/L24*100,1)/100,"")</x:f>
        <x:v>0.8009999999999999</x:v>
      </x:c>
      <x:c r="N24" s="2973" t="n">
        <x:f>IF(OR(B24="",C24="",D24="",E24="",F24="",G24=""),"",ROUNDUP(B24/MIN(E24,128),0)*(C24/F24)*(D24/G24)*((MIN(B24,MIN(E24,128))+F24)*G24*2/1024))</x:f>
        <x:v>24576</x:v>
      </x:c>
      <x:c r="O24" s="2871" t="n">
        <x:f>IF(AND(ISNUMBER(N24),ISNUMBER(K24),K24&gt;0),N24*1024/K24,"")</x:f>
        <x:v>196608</x:v>
      </x:c>
      <x:c r="P24" s="2872" t="n">
        <x:f>IF(OR(E24="",F24="",G24=""),"",((H24+I24)*1024)/(E24*F24*G24/4096))</x:f>
        <x:v>96</x:v>
      </x:c>
      <x:c r="Q24" s="2872" t="n">
        <x:f>IF(OR(E24="",F24="",G24=""),"",(E24*F24*4)/(E24*F24*G24/4096))</x:f>
        <x:v>128</x:v>
      </x:c>
      <x:c r="R24" s="2870" t="n">
        <x:f>IF(AND(ISNUMBER(K24),K24&gt;0,ISNUMBER(P24),P24&gt;0),MIN(1,K24/P24),"")</x:f>
        <x:v>1</x:v>
      </x:c>
      <x:c r="S24" s="2870" t="n">
        <x:f>IF(AND(ISNUMBER(K24),K24&gt;0,ISNUMBER(Q24),Q24&gt;0),MIN(1,K24/Q24),"")</x:f>
        <x:v>1</x:v>
      </x:c>
      <x:c r="T24" s="2870" t="n">
        <x:f>IF(AND(ISNUMBER(R24),ISNUMBER(S24)),MIN(R24,S24),"")</x:f>
        <x:v>1</x:v>
      </x:c>
      <x:c r="U24" s="2872" t="n">
        <x:f>IF(AND(ISNUMBER(M24),ISNUMBER(T24)),(M24-T24)*100,"")</x:f>
        <x:v>-19.900000000000006</x:v>
      </x:c>
      <x:c r="V24" s="2973" t="n">
        <x:v>284164</x:v>
      </x:c>
      <x:c r="W24" s="2870" t="n">
        <x:v>1.845</x:v>
      </x:c>
      <x:c r="X24" s="2870" t="n">
        <x:f>IF(AND(ISNUMBER(L24),ISNUMBER(V24),L24&gt;0,V24&gt;0),(L24-V24)/L24,"")</x:f>
        <x:v>0.13134759057505838</x:v>
      </x:c>
      <x:c r="Y24" s="2957" t="n">
        <x:f>IF(AND(ISNUMBER(L24),ISNUMBER(V24),L24&gt;0,V24&gt;0),L24/V24,"")</x:f>
        <x:v>1.1512084570881604</x:v>
      </x:c>
      <x:c r="Z24" s="2870" t="n">
        <x:f>IF(AND(ISNUMBER(C24),ISNUMBER(F24),C24&gt;0,F24&gt;0),1-F24/C24,"")</x:f>
        <x:v>0</x:v>
      </x:c>
      <x:c r="AA24" s="2933" t="inlineStr">
        <x:is>
          <x:t xml:space="preserve">PASS</x:t>
        </x:is>
      </x:c>
      <x:c r="AB24" s="2933" t="inlineStr">
        <x:is>
          <x:t xml:space="preserve">PASS</x:t>
        </x:is>
      </x:c>
      <x:c r="AC24" s="2880" t="inlineStr">
        <x:is>
          <x:t xml:space="preserve">本轮 model-main ae058a98 + 6参数(无SoC带宽/延迟) 2026-09-26</x:t>
        </x:is>
      </x:c>
    </x:row>
    <x:row r="25" ht="20" customHeight="1">
      <x:c r="A25" s="2866" t="inlineStr">
        <x:is>
          <x:t xml:space="preserve">BF16</x:t>
        </x:is>
      </x:c>
      <x:c r="B25" s="2973" t="n">
        <x:v>2048</x:v>
      </x:c>
      <x:c r="C25" s="2973" t="n">
        <x:v>256</x:v>
      </x:c>
      <x:c r="D25" s="2973" t="n">
        <x:v>2048</x:v>
      </x:c>
      <x:c r="E25" s="2973" t="n">
        <x:v>128</x:v>
      </x:c>
      <x:c r="F25" s="2973" t="n">
        <x:v>256</x:v>
      </x:c>
      <x:c r="G25" s="2973" t="n">
        <x:v>256</x:v>
      </x:c>
      <x:c r="H25" s="2974" t="n">
        <x:v>64</x:v>
      </x:c>
      <x:c r="I25" s="2974" t="n">
        <x:v>128</x:v>
      </x:c>
      <x:c r="J25" s="2974" t="n">
        <x:v>192</x:v>
      </x:c>
      <x:c r="K25" s="2975" t="n">
        <x:v>128</x:v>
      </x:c>
      <x:c r="L25" s="2973" t="n">
        <x:v>574137</x:v>
      </x:c>
      <x:c r="M25" s="2870" t="n">
        <x:f>IF(AND(ISNUMBER(L25),L25&gt;0),ROUND(B25*C25*D25/4096/L25*100,1)/100,"")</x:f>
        <x:v>0.457</x:v>
      </x:c>
      <x:c r="N25" s="2973" t="n">
        <x:f>IF(OR(B25="",C25="",D25="",E25="",F25="",G25=""),"",ROUNDUP(B25/MIN(E25,128),0)*(C25/F25)*(D25/G25)*((MIN(B25,MIN(E25,128))+F25)*G25*2/1024))</x:f>
        <x:v>24576</x:v>
      </x:c>
      <x:c r="O25" s="2871" t="n">
        <x:f>IF(AND(ISNUMBER(N25),ISNUMBER(K25),K25&gt;0),N25*1024/K25,"")</x:f>
        <x:v>196608</x:v>
      </x:c>
      <x:c r="P25" s="2872" t="n">
        <x:f>IF(OR(E25="",F25="",G25=""),"",((H25+I25)*1024)/(E25*F25*G25/4096))</x:f>
        <x:v>96</x:v>
      </x:c>
      <x:c r="Q25" s="2872" t="n">
        <x:f>IF(OR(E25="",F25="",G25=""),"",(E25*F25*4)/(E25*F25*G25/4096))</x:f>
        <x:v>64</x:v>
      </x:c>
      <x:c r="R25" s="2870" t="n">
        <x:f>IF(AND(ISNUMBER(K25),K25&gt;0,ISNUMBER(P25),P25&gt;0),MIN(1,K25/P25),"")</x:f>
        <x:v>1</x:v>
      </x:c>
      <x:c r="S25" s="2870" t="n">
        <x:f>IF(AND(ISNUMBER(K25),K25&gt;0,ISNUMBER(Q25),Q25&gt;0),MIN(1,K25/Q25),"")</x:f>
        <x:v>1</x:v>
      </x:c>
      <x:c r="T25" s="2870" t="n">
        <x:f>IF(AND(ISNUMBER(R25),ISNUMBER(S25)),MIN(R25,S25),"")</x:f>
        <x:v>1</x:v>
      </x:c>
      <x:c r="U25" s="2872" t="n">
        <x:f>IF(AND(ISNUMBER(M25),ISNUMBER(T25)),(M25-T25)*100,"")</x:f>
        <x:v>-54.29999999999999</x:v>
      </x:c>
      <x:c r="V25" s="2973" t="n">
        <x:v>296384</x:v>
      </x:c>
      <x:c r="W25" s="2870" t="n">
        <x:v>1.769</x:v>
      </x:c>
      <x:c r="X25" s="2870" t="n">
        <x:f>IF(AND(ISNUMBER(L25),ISNUMBER(V25),L25&gt;0,V25&gt;0),(L25-V25)/L25,"")</x:f>
        <x:v>0.4837747784936348</x:v>
      </x:c>
      <x:c r="Y25" s="2957" t="n">
        <x:f>IF(AND(ISNUMBER(L25),ISNUMBER(V25),L25&gt;0,V25&gt;0),L25/V25,"")</x:f>
        <x:v>1.9371389818613691</x:v>
      </x:c>
      <x:c r="Z25" s="2870" t="n">
        <x:f>IF(AND(ISNUMBER(C25),ISNUMBER(F25),C25&gt;0,F25&gt;0),1-F25/C25,"")</x:f>
        <x:v>0</x:v>
      </x:c>
      <x:c r="AA25" s="2933" t="inlineStr">
        <x:is>
          <x:t xml:space="preserve">PASS</x:t>
        </x:is>
      </x:c>
      <x:c r="AB25" s="2933" t="inlineStr">
        <x:is>
          <x:t xml:space="preserve">PASS</x:t>
        </x:is>
      </x:c>
      <x:c r="AC25" s="2880" t="inlineStr">
        <x:is>
          <x:t xml:space="preserve">本轮 model-main ae058a98 + 6参数(无SoC带宽/延迟) 2026-09-26</x:t>
        </x:is>
      </x:c>
    </x:row>
    <x:row r="26" ht="20" customHeight="1">
      <x:c r="A26" s="2822" t="inlineStr">
        <x:is>
          <x:t xml:space="preserve">FP16</x:t>
        </x:is>
      </x:c>
      <x:c r="B26" s="2964" t="n"/>
      <x:c r="C26" s="2964" t="n"/>
      <x:c r="D26" s="2964" t="n"/>
      <x:c r="E26" s="2964" t="n"/>
      <x:c r="F26" s="2964" t="n"/>
      <x:c r="G26" s="2964" t="n"/>
      <x:c r="H26" s="2965" t="n"/>
      <x:c r="I26" s="2965" t="n"/>
      <x:c r="J26" s="2965" t="n"/>
      <x:c r="K26" s="2966"/>
      <x:c r="L26" s="2964" t="n"/>
      <x:c r="M26" s="2826" t="n"/>
      <x:c r="N26" s="2964" t="n"/>
      <x:c r="O26" s="2827" t="n"/>
      <x:c r="P26" s="2828" t="n"/>
      <x:c r="Q26" s="2828" t="n"/>
      <x:c r="R26" s="2826" t="n"/>
      <x:c r="S26" s="2826" t="n"/>
      <x:c r="T26" s="2826" t="n"/>
      <x:c r="U26" s="2828" t="n"/>
      <x:c r="V26" s="2964" t="n"/>
      <x:c r="W26" s="2826" t="n"/>
      <x:c r="X26" s="2826" t="n"/>
      <x:c r="Y26" s="2954" t="n"/>
      <x:c r="Z26" s="2826" t="n"/>
      <x:c r="AA26" s="2822" t="n"/>
      <x:c r="AB26" s="2822" t="n"/>
      <x:c r="AC26" s="2822" t="n"/>
    </x:row>
    <x:row r="27" ht="20" customHeight="1">
      <x:c r="A27" s="2891" t="inlineStr">
        <x:is>
          <x:t xml:space="preserve">FP16</x:t>
        </x:is>
      </x:c>
      <x:c r="B27" s="2976" t="n">
        <x:v>2048</x:v>
      </x:c>
      <x:c r="C27" s="2976" t="n">
        <x:v>256</x:v>
      </x:c>
      <x:c r="D27" s="2976" t="n">
        <x:v>2048</x:v>
      </x:c>
      <x:c r="E27" s="2976" t="n">
        <x:v>128</x:v>
      </x:c>
      <x:c r="F27" s="2976" t="n">
        <x:v>64</x:v>
      </x:c>
      <x:c r="G27" s="2976" t="n">
        <x:v>64</x:v>
      </x:c>
      <x:c r="H27" s="2977" t="n">
        <x:v>16</x:v>
      </x:c>
      <x:c r="I27" s="2977" t="n">
        <x:v>8</x:v>
      </x:c>
      <x:c r="J27" s="2977" t="n">
        <x:v>24</x:v>
      </x:c>
      <x:c r="K27" s="2978" t="n">
        <x:v>128</x:v>
      </x:c>
      <x:c r="L27" s="2976" t="n">
        <x:v>624542</x:v>
      </x:c>
      <x:c r="M27" s="2895" t="n">
        <x:f>IF(AND(ISNUMBER(L27),L27&gt;0),ROUND(B27*C27*D27/4096/L27*100,1)/100,"")</x:f>
        <x:v>0.42</x:v>
      </x:c>
      <x:c r="N27" s="2976" t="n">
        <x:f>IF(OR(B27="",C27="",D27="",E27="",F27="",G27=""),"",ROUNDUP(B27/MIN(E27,128),0)*(C27/F27)*(D27/G27)*((MIN(B27,MIN(E27,128))+F27)*G27*2/1024))</x:f>
        <x:v>49152</x:v>
      </x:c>
      <x:c r="O27" s="2896" t="n">
        <x:f>IF(AND(ISNUMBER(N27),ISNUMBER(K27),K27&gt;0),N27*1024/K27,"")</x:f>
        <x:v>393216</x:v>
      </x:c>
      <x:c r="P27" s="2897" t="n">
        <x:f>IF(OR(E27="",F27="",G27=""),"",((H27+I27)*1024)/(E27*F27*G27/4096))</x:f>
        <x:v>192</x:v>
      </x:c>
      <x:c r="Q27" s="2897" t="n">
        <x:f>IF(OR(E27="",F27="",G27=""),"",(E27*F27*4)/(E27*F27*G27/4096))</x:f>
        <x:v>256</x:v>
      </x:c>
      <x:c r="R27" s="2895" t="n">
        <x:f>IF(AND(ISNUMBER(K27),K27&gt;0,ISNUMBER(P27),P27&gt;0),MIN(1,K27/P27),"")</x:f>
        <x:v>0.6666666666666666</x:v>
      </x:c>
      <x:c r="S27" s="2895" t="n">
        <x:f>IF(AND(ISNUMBER(K27),K27&gt;0,ISNUMBER(Q27),Q27&gt;0),MIN(1,K27/Q27),"")</x:f>
        <x:v>0.5</x:v>
      </x:c>
      <x:c r="T27" s="2895" t="n">
        <x:f>IF(AND(ISNUMBER(R27),ISNUMBER(S27)),MIN(R27,S27),"")</x:f>
        <x:v>0.5</x:v>
      </x:c>
      <x:c r="U27" s="2897" t="n">
        <x:f>IF(AND(ISNUMBER(M27),ISNUMBER(T27)),(M27-T27)*100,"")</x:f>
        <x:v>-8.000000000000002</x:v>
      </x:c>
      <x:c r="V27" s="2976" t="n">
        <x:v>315396</x:v>
      </x:c>
      <x:c r="W27" s="2895" t="n">
        <x:v>1.662</x:v>
      </x:c>
      <x:c r="X27" s="2895" t="n">
        <x:f>IF(AND(ISNUMBER(L27),ISNUMBER(V27),L27&gt;0,V27&gt;0),(L27-V27)/L27,"")</x:f>
        <x:v>0.4949963333130518</x:v>
      </x:c>
      <x:c r="Y27" s="2958" t="n">
        <x:f>IF(AND(ISNUMBER(L27),ISNUMBER(V27),L27&gt;0,V27&gt;0),L27/V27,"")</x:f>
        <x:v>1.980183642151454</x:v>
      </x:c>
      <x:c r="Z27" s="2895" t="n">
        <x:f>IF(AND(ISNUMBER(C27),ISNUMBER(F27),C27&gt;0,F27&gt;0),1-F27/C27,"")</x:f>
        <x:v>0.75</x:v>
      </x:c>
      <x:c r="AA27" s="2935" t="inlineStr">
        <x:is>
          <x:t xml:space="preserve">PASS</x:t>
        </x:is>
      </x:c>
      <x:c r="AB27" s="2936" t="inlineStr">
        <x:is>
          <x:t xml:space="preserve">PASS</x:t>
        </x:is>
      </x:c>
      <x:c r="AC27" s="2905" t="inlineStr">
        <x:is>
          <x:t xml:space="preserve">本轮 model-main ae058a98 + 6参数(无SoC带宽/延迟) 2026-09-26</x:t>
        </x:is>
      </x:c>
    </x:row>
    <x:row r="28" ht="20" customHeight="1">
      <x:c r="A28" s="2891" t="inlineStr">
        <x:is>
          <x:t xml:space="preserve">FP16</x:t>
        </x:is>
      </x:c>
      <x:c r="B28" s="2976" t="n">
        <x:v>2048</x:v>
      </x:c>
      <x:c r="C28" s="2976" t="n">
        <x:v>256</x:v>
      </x:c>
      <x:c r="D28" s="2976" t="n">
        <x:v>2048</x:v>
      </x:c>
      <x:c r="E28" s="2976" t="n">
        <x:v>128</x:v>
      </x:c>
      <x:c r="F28" s="2976" t="n">
        <x:v>64</x:v>
      </x:c>
      <x:c r="G28" s="2976" t="n">
        <x:v>128</x:v>
      </x:c>
      <x:c r="H28" s="2977" t="n">
        <x:v>32</x:v>
      </x:c>
      <x:c r="I28" s="2977" t="n">
        <x:v>16</x:v>
      </x:c>
      <x:c r="J28" s="2977" t="n">
        <x:v>48</x:v>
      </x:c>
      <x:c r="K28" s="2978" t="n">
        <x:v>128</x:v>
      </x:c>
      <x:c r="L28" s="2976" t="n">
        <x:v>625519</x:v>
      </x:c>
      <x:c r="M28" s="2895" t="n">
        <x:f>IF(AND(ISNUMBER(L28),L28&gt;0),ROUND(B28*C28*D28/4096/L28*100,1)/100,"")</x:f>
        <x:v>0.419</x:v>
      </x:c>
      <x:c r="N28" s="2976" t="n">
        <x:f>IF(OR(B28="",C28="",D28="",E28="",F28="",G28=""),"",ROUNDUP(B28/MIN(E28,128),0)*(C28/F28)*(D28/G28)*((MIN(B28,MIN(E28,128))+F28)*G28*2/1024))</x:f>
        <x:v>49152</x:v>
      </x:c>
      <x:c r="O28" s="2896" t="n">
        <x:f>IF(AND(ISNUMBER(N28),ISNUMBER(K28),K28&gt;0),N28*1024/K28,"")</x:f>
        <x:v>393216</x:v>
      </x:c>
      <x:c r="P28" s="2897" t="n">
        <x:f>IF(OR(E28="",F28="",G28=""),"",((H28+I28)*1024)/(E28*F28*G28/4096))</x:f>
        <x:v>192</x:v>
      </x:c>
      <x:c r="Q28" s="2897" t="n">
        <x:f>IF(OR(E28="",F28="",G28=""),"",(E28*F28*4)/(E28*F28*G28/4096))</x:f>
        <x:v>128</x:v>
      </x:c>
      <x:c r="R28" s="2895" t="n">
        <x:f>IF(AND(ISNUMBER(K28),K28&gt;0,ISNUMBER(P28),P28&gt;0),MIN(1,K28/P28),"")</x:f>
        <x:v>0.6666666666666666</x:v>
      </x:c>
      <x:c r="S28" s="2895" t="n">
        <x:f>IF(AND(ISNUMBER(K28),K28&gt;0,ISNUMBER(Q28),Q28&gt;0),MIN(1,K28/Q28),"")</x:f>
        <x:v>1</x:v>
      </x:c>
      <x:c r="T28" s="2895" t="n">
        <x:f>IF(AND(ISNUMBER(R28),ISNUMBER(S28)),MIN(R28,S28),"")</x:f>
        <x:v>0.6666666666666666</x:v>
      </x:c>
      <x:c r="U28" s="2897" t="n">
        <x:f>IF(AND(ISNUMBER(M28),ISNUMBER(T28)),(M28-T28)*100,"")</x:f>
        <x:v>-24.766666666666666</x:v>
      </x:c>
      <x:c r="V28" s="2976" t="n">
        <x:v>268863</x:v>
      </x:c>
      <x:c r="W28" s="2895" t="n">
        <x:v>1.95</x:v>
      </x:c>
      <x:c r="X28" s="2895" t="n">
        <x:f>IF(AND(ISNUMBER(L28),ISNUMBER(V28),L28&gt;0,V28&gt;0),(L28-V28)/L28,"")</x:f>
        <x:v>0.5701761257451812</x:v>
      </x:c>
      <x:c r="Y28" s="2958" t="n">
        <x:f>IF(AND(ISNUMBER(L28),ISNUMBER(V28),L28&gt;0,V28&gt;0),L28/V28,"")</x:f>
        <x:v>2.3265343316112665</x:v>
      </x:c>
      <x:c r="Z28" s="2895" t="n">
        <x:f>IF(AND(ISNUMBER(C28),ISNUMBER(F28),C28&gt;0,F28&gt;0),1-F28/C28,"")</x:f>
        <x:v>0.75</x:v>
      </x:c>
      <x:c r="AA28" s="2935" t="inlineStr">
        <x:is>
          <x:t xml:space="preserve">PASS</x:t>
        </x:is>
      </x:c>
      <x:c r="AB28" s="2935" t="inlineStr">
        <x:is>
          <x:t xml:space="preserve">PASS</x:t>
        </x:is>
      </x:c>
      <x:c r="AC28" s="2905" t="inlineStr">
        <x:is>
          <x:t xml:space="preserve">本轮 model-main ae058a98 + 6参数(无SoC带宽/延迟) 2026-09-26</x:t>
        </x:is>
      </x:c>
    </x:row>
    <x:row r="29" ht="20" customHeight="1">
      <x:c r="A29" s="2891" t="inlineStr">
        <x:is>
          <x:t xml:space="preserve">FP16</x:t>
        </x:is>
      </x:c>
      <x:c r="B29" s="2976" t="n">
        <x:v>2048</x:v>
      </x:c>
      <x:c r="C29" s="2976" t="n">
        <x:v>256</x:v>
      </x:c>
      <x:c r="D29" s="2976" t="n">
        <x:v>2048</x:v>
      </x:c>
      <x:c r="E29" s="2976" t="n">
        <x:v>128</x:v>
      </x:c>
      <x:c r="F29" s="2976" t="n">
        <x:v>64</x:v>
      </x:c>
      <x:c r="G29" s="2976" t="n">
        <x:v>256</x:v>
      </x:c>
      <x:c r="H29" s="2977" t="n">
        <x:v>64</x:v>
      </x:c>
      <x:c r="I29" s="2977" t="n">
        <x:v>32</x:v>
      </x:c>
      <x:c r="J29" s="2977" t="n">
        <x:v>96</x:v>
      </x:c>
      <x:c r="K29" s="2978" t="n">
        <x:v>128</x:v>
      </x:c>
      <x:c r="L29" s="2976" t="n">
        <x:v>625221</x:v>
      </x:c>
      <x:c r="M29" s="2895" t="n">
        <x:f>IF(AND(ISNUMBER(L29),L29&gt;0),ROUND(B29*C29*D29/4096/L29*100,1)/100,"")</x:f>
        <x:v>0.419</x:v>
      </x:c>
      <x:c r="N29" s="2976" t="n">
        <x:f>IF(OR(B29="",C29="",D29="",E29="",F29="",G29=""),"",ROUNDUP(B29/MIN(E29,128),0)*(C29/F29)*(D29/G29)*((MIN(B29,MIN(E29,128))+F29)*G29*2/1024))</x:f>
        <x:v>49152</x:v>
      </x:c>
      <x:c r="O29" s="2896" t="n">
        <x:f>IF(AND(ISNUMBER(N29),ISNUMBER(K29),K29&gt;0),N29*1024/K29,"")</x:f>
        <x:v>393216</x:v>
      </x:c>
      <x:c r="P29" s="2897" t="n">
        <x:f>IF(OR(E29="",F29="",G29=""),"",((H29+I29)*1024)/(E29*F29*G29/4096))</x:f>
        <x:v>192</x:v>
      </x:c>
      <x:c r="Q29" s="2897" t="n">
        <x:f>IF(OR(E29="",F29="",G29=""),"",(E29*F29*4)/(E29*F29*G29/4096))</x:f>
        <x:v>64</x:v>
      </x:c>
      <x:c r="R29" s="2895" t="n">
        <x:f>IF(AND(ISNUMBER(K29),K29&gt;0,ISNUMBER(P29),P29&gt;0),MIN(1,K29/P29),"")</x:f>
        <x:v>0.6666666666666666</x:v>
      </x:c>
      <x:c r="S29" s="2895" t="n">
        <x:f>IF(AND(ISNUMBER(K29),K29&gt;0,ISNUMBER(Q29),Q29&gt;0),MIN(1,K29/Q29),"")</x:f>
        <x:v>1</x:v>
      </x:c>
      <x:c r="T29" s="2895" t="n">
        <x:f>IF(AND(ISNUMBER(R29),ISNUMBER(S29)),MIN(R29,S29),"")</x:f>
        <x:v>0.6666666666666666</x:v>
      </x:c>
      <x:c r="U29" s="2897" t="n">
        <x:f>IF(AND(ISNUMBER(M29),ISNUMBER(T29)),(M29-T29)*100,"")</x:f>
        <x:v>-24.766666666666666</x:v>
      </x:c>
      <x:c r="V29" s="2976" t="n">
        <x:v>269178</x:v>
      </x:c>
      <x:c r="W29" s="2895" t="n">
        <x:v>1.948</x:v>
      </x:c>
      <x:c r="X29" s="2895" t="n">
        <x:f>IF(AND(ISNUMBER(L29),ISNUMBER(V29),L29&gt;0,V29&gt;0),(L29-V29)/L29,"")</x:f>
        <x:v>0.5694674363145192</x:v>
      </x:c>
      <x:c r="Y29" s="2958" t="n">
        <x:f>IF(AND(ISNUMBER(L29),ISNUMBER(V29),L29&gt;0,V29&gt;0),L29/V29,"")</x:f>
        <x:v>2.3227046786884515</x:v>
      </x:c>
      <x:c r="Z29" s="2895" t="n">
        <x:f>IF(AND(ISNUMBER(C29),ISNUMBER(F29),C29&gt;0,F29&gt;0),1-F29/C29,"")</x:f>
        <x:v>0.75</x:v>
      </x:c>
      <x:c r="AA29" s="2935" t="inlineStr">
        <x:is>
          <x:t xml:space="preserve">PASS</x:t>
        </x:is>
      </x:c>
      <x:c r="AB29" s="2935" t="inlineStr">
        <x:is>
          <x:t xml:space="preserve">PASS</x:t>
        </x:is>
      </x:c>
      <x:c r="AC29" s="2905" t="inlineStr">
        <x:is>
          <x:t xml:space="preserve">本轮 model-main ae058a98 + 6参数(无SoC带宽/延迟) 2026-09-26</x:t>
        </x:is>
      </x:c>
    </x:row>
    <x:row r="30" ht="20" customHeight="1">
      <x:c r="A30" s="2891" t="inlineStr">
        <x:is>
          <x:t xml:space="preserve">FP16</x:t>
        </x:is>
      </x:c>
      <x:c r="B30" s="2976" t="n">
        <x:v>2048</x:v>
      </x:c>
      <x:c r="C30" s="2976" t="n">
        <x:v>256</x:v>
      </x:c>
      <x:c r="D30" s="2976" t="n">
        <x:v>2048</x:v>
      </x:c>
      <x:c r="E30" s="2976" t="n">
        <x:v>128</x:v>
      </x:c>
      <x:c r="F30" s="2976" t="n">
        <x:v>128</x:v>
      </x:c>
      <x:c r="G30" s="2976" t="n">
        <x:v>64</x:v>
      </x:c>
      <x:c r="H30" s="2977" t="n">
        <x:v>16</x:v>
      </x:c>
      <x:c r="I30" s="2977" t="n">
        <x:v>16</x:v>
      </x:c>
      <x:c r="J30" s="2977" t="n">
        <x:v>32</x:v>
      </x:c>
      <x:c r="K30" s="2978" t="n">
        <x:v>128</x:v>
      </x:c>
      <x:c r="L30" s="2976" t="n">
        <x:v>418408</x:v>
      </x:c>
      <x:c r="M30" s="2895" t="n">
        <x:f>IF(AND(ISNUMBER(L30),L30&gt;0),ROUND(B30*C30*D30/4096/L30*100,1)/100,"")</x:f>
        <x:v>0.627</x:v>
      </x:c>
      <x:c r="N30" s="2976" t="n">
        <x:f>IF(OR(B30="",C30="",D30="",E30="",F30="",G30=""),"",ROUNDUP(B30/MIN(E30,128),0)*(C30/F30)*(D30/G30)*((MIN(B30,MIN(E30,128))+F30)*G30*2/1024))</x:f>
        <x:v>32768</x:v>
      </x:c>
      <x:c r="O30" s="2896" t="n">
        <x:f>IF(AND(ISNUMBER(N30),ISNUMBER(K30),K30&gt;0),N30*1024/K30,"")</x:f>
        <x:v>262144</x:v>
      </x:c>
      <x:c r="P30" s="2897" t="n">
        <x:f>IF(OR(E30="",F30="",G30=""),"",((H30+I30)*1024)/(E30*F30*G30/4096))</x:f>
        <x:v>128</x:v>
      </x:c>
      <x:c r="Q30" s="2897" t="n">
        <x:f>IF(OR(E30="",F30="",G30=""),"",(E30*F30*4)/(E30*F30*G30/4096))</x:f>
        <x:v>256</x:v>
      </x:c>
      <x:c r="R30" s="2895" t="n">
        <x:f>IF(AND(ISNUMBER(K30),K30&gt;0,ISNUMBER(P30),P30&gt;0),MIN(1,K30/P30),"")</x:f>
        <x:v>1</x:v>
      </x:c>
      <x:c r="S30" s="2895" t="n">
        <x:f>IF(AND(ISNUMBER(K30),K30&gt;0,ISNUMBER(Q30),Q30&gt;0),MIN(1,K30/Q30),"")</x:f>
        <x:v>0.5</x:v>
      </x:c>
      <x:c r="T30" s="2895" t="n">
        <x:f>IF(AND(ISNUMBER(R30),ISNUMBER(S30)),MIN(R30,S30),"")</x:f>
        <x:v>0.5</x:v>
      </x:c>
      <x:c r="U30" s="2897" t="n">
        <x:f>IF(AND(ISNUMBER(M30),ISNUMBER(T30)),(M30-T30)*100,"")</x:f>
        <x:v>12.7</x:v>
      </x:c>
      <x:c r="V30" s="2976" t="n">
        <x:v>314474</x:v>
      </x:c>
      <x:c r="W30" s="2895" t="n">
        <x:v>1.667</x:v>
      </x:c>
      <x:c r="X30" s="2895" t="n">
        <x:f>IF(AND(ISNUMBER(L30),ISNUMBER(V30),L30&gt;0,V30&gt;0),(L30-V30)/L30,"")</x:f>
        <x:v>0.24840347220894438</x:v>
      </x:c>
      <x:c r="Y30" s="2958" t="n">
        <x:f>IF(AND(ISNUMBER(L30),ISNUMBER(V30),L30&gt;0,V30&gt;0),L30/V30,"")</x:f>
        <x:v>1.3305010907102017</x:v>
      </x:c>
      <x:c r="Z30" s="2895" t="n">
        <x:f>IF(AND(ISNUMBER(C30),ISNUMBER(F30),C30&gt;0,F30&gt;0),1-F30/C30,"")</x:f>
        <x:v>0.5</x:v>
      </x:c>
      <x:c r="AA30" s="2935" t="inlineStr">
        <x:is>
          <x:t xml:space="preserve">PASS</x:t>
        </x:is>
      </x:c>
      <x:c r="AB30" s="2935" t="inlineStr">
        <x:is>
          <x:t xml:space="preserve">PASS</x:t>
        </x:is>
      </x:c>
      <x:c r="AC30" s="2905" t="inlineStr">
        <x:is>
          <x:t xml:space="preserve">本轮 model-main ae058a98 + 6参数(无SoC带宽/延迟) 2026-09-26</x:t>
        </x:is>
      </x:c>
    </x:row>
    <x:row r="31" ht="20" customHeight="1">
      <x:c r="A31" s="2943" t="inlineStr">
        <x:is>
          <x:t xml:space="preserve">FP16</x:t>
        </x:is>
      </x:c>
      <x:c r="B31" s="2970" t="n">
        <x:v>2048</x:v>
      </x:c>
      <x:c r="C31" s="2970" t="n">
        <x:v>256</x:v>
      </x:c>
      <x:c r="D31" s="2970" t="n">
        <x:v>2048</x:v>
      </x:c>
      <x:c r="E31" s="2970" t="n">
        <x:v>128</x:v>
      </x:c>
      <x:c r="F31" s="2970" t="n">
        <x:v>128</x:v>
      </x:c>
      <x:c r="G31" s="2970" t="n">
        <x:v>128</x:v>
      </x:c>
      <x:c r="H31" s="2971" t="n">
        <x:v>32</x:v>
      </x:c>
      <x:c r="I31" s="2971" t="n">
        <x:v>32</x:v>
      </x:c>
      <x:c r="J31" s="2971" t="n">
        <x:v>64</x:v>
      </x:c>
      <x:c r="K31" s="2972" t="n">
        <x:v>128</x:v>
      </x:c>
      <x:c r="L31" s="2970" t="n">
        <x:v>418767</x:v>
      </x:c>
      <x:c r="M31" s="2947" t="n">
        <x:f>IF(AND(ISNUMBER(L31),L31&gt;0),ROUND(B31*C31*D31/4096/L31*100,1)/100,"")</x:f>
        <x:v>0.626</x:v>
      </x:c>
      <x:c r="N31" s="2970" t="n">
        <x:f>IF(OR(B31="",C31="",D31="",E31="",F31="",G31=""),"",ROUNDUP(B31/MIN(E31,128),0)*(C31/F31)*(D31/G31)*((MIN(B31,MIN(E31,128))+F31)*G31*2/1024))</x:f>
        <x:v>32768</x:v>
      </x:c>
      <x:c r="O31" s="2948" t="n">
        <x:f>IF(AND(ISNUMBER(N31),ISNUMBER(K31),K31&gt;0),N31*1024/K31,"")</x:f>
        <x:v>262144</x:v>
      </x:c>
      <x:c r="P31" s="2949" t="n">
        <x:f>IF(OR(E31="",F31="",G31=""),"",((H31+I31)*1024)/(E31*F31*G31/4096))</x:f>
        <x:v>128</x:v>
      </x:c>
      <x:c r="Q31" s="2949" t="n">
        <x:f>IF(OR(E31="",F31="",G31=""),"",(E31*F31*4)/(E31*F31*G31/4096))</x:f>
        <x:v>128</x:v>
      </x:c>
      <x:c r="R31" s="2947" t="n">
        <x:f>IF(AND(ISNUMBER(K31),K31&gt;0,ISNUMBER(P31),P31&gt;0),MIN(1,K31/P31),"")</x:f>
        <x:v>1</x:v>
      </x:c>
      <x:c r="S31" s="2947" t="n">
        <x:f>IF(AND(ISNUMBER(K31),K31&gt;0,ISNUMBER(Q31),Q31&gt;0),MIN(1,K31/Q31),"")</x:f>
        <x:v>1</x:v>
      </x:c>
      <x:c r="T31" s="2947" t="n">
        <x:f>IF(AND(ISNUMBER(R31),ISNUMBER(S31)),MIN(R31,S31),"")</x:f>
        <x:v>1</x:v>
      </x:c>
      <x:c r="U31" s="2949" t="n">
        <x:f>IF(AND(ISNUMBER(M31),ISNUMBER(T31)),(M31-T31)*100,"")</x:f>
        <x:v>-37.4</x:v>
      </x:c>
      <x:c r="V31" s="2970" t="n">
        <x:v>266260</x:v>
      </x:c>
      <x:c r="W31" s="2947" t="n">
        <x:v>1.969</x:v>
      </x:c>
      <x:c r="X31" s="2947" t="n">
        <x:f>IF(AND(ISNUMBER(L31),ISNUMBER(V31),L31&gt;0,V31&gt;0),(L31-V31)/L31,"")</x:f>
        <x:v>0.36418103623255893</x:v>
      </x:c>
      <x:c r="Y31" s="2956" t="n">
        <x:f>IF(AND(ISNUMBER(L31),ISNUMBER(V31),L31&gt;0,V31&gt;0),L31/V31,"")</x:f>
        <x:v>1.572774731465485</x:v>
      </x:c>
      <x:c r="Z31" s="2947" t="n">
        <x:f>IF(AND(ISNUMBER(C31),ISNUMBER(F31),C31&gt;0,F31&gt;0),1-F31/C31,"")</x:f>
        <x:v>0.5</x:v>
      </x:c>
      <x:c r="AA31" s="2951" t="inlineStr">
        <x:is>
          <x:t xml:space="preserve">PASS</x:t>
        </x:is>
      </x:c>
      <x:c r="AB31" s="2951" t="inlineStr">
        <x:is>
          <x:t xml:space="preserve">PASS</x:t>
        </x:is>
      </x:c>
      <x:c r="AC31" s="2952" t="inlineStr">
        <x:is>
          <x:t xml:space="preserve">本轮 model-main ae058a98 + 6参数(无SoC带宽/延迟) 2026-09-26</x:t>
        </x:is>
      </x:c>
    </x:row>
    <x:row r="32" ht="20" customHeight="1">
      <x:c r="A32" s="2891" t="inlineStr">
        <x:is>
          <x:t xml:space="preserve">FP16</x:t>
        </x:is>
      </x:c>
      <x:c r="B32" s="2976" t="n">
        <x:v>2048</x:v>
      </x:c>
      <x:c r="C32" s="2976" t="n">
        <x:v>256</x:v>
      </x:c>
      <x:c r="D32" s="2976" t="n">
        <x:v>2048</x:v>
      </x:c>
      <x:c r="E32" s="2976" t="n">
        <x:v>128</x:v>
      </x:c>
      <x:c r="F32" s="2976" t="n">
        <x:v>128</x:v>
      </x:c>
      <x:c r="G32" s="2976" t="n">
        <x:v>256</x:v>
      </x:c>
      <x:c r="H32" s="2977" t="n">
        <x:v>64</x:v>
      </x:c>
      <x:c r="I32" s="2977" t="n">
        <x:v>64</x:v>
      </x:c>
      <x:c r="J32" s="2977" t="n">
        <x:v>128</x:v>
      </x:c>
      <x:c r="K32" s="2978" t="n">
        <x:v>128</x:v>
      </x:c>
      <x:c r="L32" s="2976" t="n">
        <x:v>448383</x:v>
      </x:c>
      <x:c r="M32" s="2895" t="n">
        <x:f>IF(AND(ISNUMBER(L32),L32&gt;0),ROUND(B32*C32*D32/4096/L32*100,1)/100,"")</x:f>
        <x:v>0.585</x:v>
      </x:c>
      <x:c r="N32" s="2976" t="n">
        <x:f>IF(OR(B32="",C32="",D32="",E32="",F32="",G32=""),"",ROUNDUP(B32/MIN(E32,128),0)*(C32/F32)*(D32/G32)*((MIN(B32,MIN(E32,128))+F32)*G32*2/1024))</x:f>
        <x:v>32768</x:v>
      </x:c>
      <x:c r="O32" s="2896" t="n">
        <x:f>IF(AND(ISNUMBER(N32),ISNUMBER(K32),K32&gt;0),N32*1024/K32,"")</x:f>
        <x:v>262144</x:v>
      </x:c>
      <x:c r="P32" s="2897" t="n">
        <x:f>IF(OR(E32="",F32="",G32=""),"",((H32+I32)*1024)/(E32*F32*G32/4096))</x:f>
        <x:v>128</x:v>
      </x:c>
      <x:c r="Q32" s="2897" t="n">
        <x:f>IF(OR(E32="",F32="",G32=""),"",(E32*F32*4)/(E32*F32*G32/4096))</x:f>
        <x:v>64</x:v>
      </x:c>
      <x:c r="R32" s="2895" t="n">
        <x:f>IF(AND(ISNUMBER(K32),K32&gt;0,ISNUMBER(P32),P32&gt;0),MIN(1,K32/P32),"")</x:f>
        <x:v>1</x:v>
      </x:c>
      <x:c r="S32" s="2895" t="n">
        <x:f>IF(AND(ISNUMBER(K32),K32&gt;0,ISNUMBER(Q32),Q32&gt;0),MIN(1,K32/Q32),"")</x:f>
        <x:v>1</x:v>
      </x:c>
      <x:c r="T32" s="2895" t="n">
        <x:f>IF(AND(ISNUMBER(R32),ISNUMBER(S32)),MIN(R32,S32),"")</x:f>
        <x:v>1</x:v>
      </x:c>
      <x:c r="U32" s="2897" t="n">
        <x:f>IF(AND(ISNUMBER(M32),ISNUMBER(T32)),(M32-T32)*100,"")</x:f>
        <x:v>-41.5</x:v>
      </x:c>
      <x:c r="V32" s="2976" t="n">
        <x:v>267390</x:v>
      </x:c>
      <x:c r="W32" s="2895" t="n">
        <x:v>1.961</x:v>
      </x:c>
      <x:c r="X32" s="2895" t="n">
        <x:f>IF(AND(ISNUMBER(L32),ISNUMBER(V32),L32&gt;0,V32&gt;0),(L32-V32)/L32,"")</x:f>
        <x:v>0.40365714132783803</x:v>
      </x:c>
      <x:c r="Y32" s="2958" t="n">
        <x:f>IF(AND(ISNUMBER(L32),ISNUMBER(V32),L32&gt;0,V32&gt;0),L32/V32,"")</x:f>
        <x:v>1.6768876921350835</x:v>
      </x:c>
      <x:c r="Z32" s="2895" t="n">
        <x:f>IF(AND(ISNUMBER(C32),ISNUMBER(F32),C32&gt;0,F32&gt;0),1-F32/C32,"")</x:f>
        <x:v>0.5</x:v>
      </x:c>
      <x:c r="AA32" s="2935" t="inlineStr">
        <x:is>
          <x:t xml:space="preserve">PASS</x:t>
        </x:is>
      </x:c>
      <x:c r="AB32" s="2935" t="inlineStr">
        <x:is>
          <x:t xml:space="preserve">PASS</x:t>
        </x:is>
      </x:c>
      <x:c r="AC32" s="2905" t="inlineStr">
        <x:is>
          <x:t xml:space="preserve">本轮 model-main ae058a98 + 6参数(无SoC带宽/延迟) 2026-09-26</x:t>
        </x:is>
      </x:c>
    </x:row>
    <x:row r="33" ht="20" customHeight="1">
      <x:c r="A33" s="2891" t="inlineStr">
        <x:is>
          <x:t xml:space="preserve">FP16</x:t>
        </x:is>
      </x:c>
      <x:c r="B33" s="2976" t="n">
        <x:v>2048</x:v>
      </x:c>
      <x:c r="C33" s="2976" t="n">
        <x:v>256</x:v>
      </x:c>
      <x:c r="D33" s="2976" t="n">
        <x:v>2048</x:v>
      </x:c>
      <x:c r="E33" s="2976" t="n">
        <x:v>128</x:v>
      </x:c>
      <x:c r="F33" s="2976" t="n">
        <x:v>256</x:v>
      </x:c>
      <x:c r="G33" s="2976" t="n">
        <x:v>64</x:v>
      </x:c>
      <x:c r="H33" s="2977" t="n">
        <x:v>16</x:v>
      </x:c>
      <x:c r="I33" s="2977" t="n">
        <x:v>32</x:v>
      </x:c>
      <x:c r="J33" s="2977" t="n">
        <x:v>48</x:v>
      </x:c>
      <x:c r="K33" s="2978" t="n">
        <x:v>128</x:v>
      </x:c>
      <x:c r="L33" s="2976" t="n">
        <x:v>317520</x:v>
      </x:c>
      <x:c r="M33" s="2895" t="n">
        <x:f>IF(AND(ISNUMBER(L33),L33&gt;0),ROUND(B33*C33*D33/4096/L33*100,1)/100,"")</x:f>
        <x:v>0.826</x:v>
      </x:c>
      <x:c r="N33" s="2976" t="n">
        <x:f>IF(OR(B33="",C33="",D33="",E33="",F33="",G33=""),"",ROUNDUP(B33/MIN(E33,128),0)*(C33/F33)*(D33/G33)*((MIN(B33,MIN(E33,128))+F33)*G33*2/1024))</x:f>
        <x:v>24576</x:v>
      </x:c>
      <x:c r="O33" s="2896" t="n">
        <x:f>IF(AND(ISNUMBER(N33),ISNUMBER(K33),K33&gt;0),N33*1024/K33,"")</x:f>
        <x:v>196608</x:v>
      </x:c>
      <x:c r="P33" s="2897" t="n">
        <x:f>IF(OR(E33="",F33="",G33=""),"",((H33+I33)*1024)/(E33*F33*G33/4096))</x:f>
        <x:v>96</x:v>
      </x:c>
      <x:c r="Q33" s="2897" t="n">
        <x:f>IF(OR(E33="",F33="",G33=""),"",(E33*F33*4)/(E33*F33*G33/4096))</x:f>
        <x:v>256</x:v>
      </x:c>
      <x:c r="R33" s="2895" t="n">
        <x:f>IF(AND(ISNUMBER(K33),K33&gt;0,ISNUMBER(P33),P33&gt;0),MIN(1,K33/P33),"")</x:f>
        <x:v>1</x:v>
      </x:c>
      <x:c r="S33" s="2895" t="n">
        <x:f>IF(AND(ISNUMBER(K33),K33&gt;0,ISNUMBER(Q33),Q33&gt;0),MIN(1,K33/Q33),"")</x:f>
        <x:v>0.5</x:v>
      </x:c>
      <x:c r="T33" s="2895" t="n">
        <x:f>IF(AND(ISNUMBER(R33),ISNUMBER(S33)),MIN(R33,S33),"")</x:f>
        <x:v>0.5</x:v>
      </x:c>
      <x:c r="U33" s="2897" t="n">
        <x:f>IF(AND(ISNUMBER(M33),ISNUMBER(T33)),(M33-T33)*100,"")</x:f>
        <x:v>32.599999999999994</x:v>
      </x:c>
      <x:c r="V33" s="2976" t="n">
        <x:v>316590</x:v>
      </x:c>
      <x:c r="W33" s="2895" t="n">
        <x:v>1.656</x:v>
      </x:c>
      <x:c r="X33" s="2895" t="n">
        <x:f>IF(AND(ISNUMBER(L33),ISNUMBER(V33),L33&gt;0,V33&gt;0),(L33-V33)/L33,"")</x:f>
        <x:v>0.002928949357520786</x:v>
      </x:c>
      <x:c r="Y33" s="2958" t="n">
        <x:f>IF(AND(ISNUMBER(L33),ISNUMBER(V33),L33&gt;0,V33&gt;0),L33/V33,"")</x:f>
        <x:v>1.0029375533023785</x:v>
      </x:c>
      <x:c r="Z33" s="2895" t="n">
        <x:f>IF(AND(ISNUMBER(C33),ISNUMBER(F33),C33&gt;0,F33&gt;0),1-F33/C33,"")</x:f>
        <x:v>0</x:v>
      </x:c>
      <x:c r="AA33" s="2935" t="inlineStr">
        <x:is>
          <x:t xml:space="preserve">PASS</x:t>
        </x:is>
      </x:c>
      <x:c r="AB33" s="2935" t="inlineStr">
        <x:is>
          <x:t xml:space="preserve">PASS</x:t>
        </x:is>
      </x:c>
      <x:c r="AC33" s="2905" t="inlineStr">
        <x:is>
          <x:t xml:space="preserve">本轮 model-main ae058a98 + 6参数(无SoC带宽/延迟) 2026-09-26</x:t>
        </x:is>
      </x:c>
    </x:row>
    <x:row r="34" ht="20" customHeight="1">
      <x:c r="A34" s="2891" t="inlineStr">
        <x:is>
          <x:t xml:space="preserve">FP16</x:t>
        </x:is>
      </x:c>
      <x:c r="B34" s="2976" t="n">
        <x:v>2048</x:v>
      </x:c>
      <x:c r="C34" s="2976" t="n">
        <x:v>256</x:v>
      </x:c>
      <x:c r="D34" s="2976" t="n">
        <x:v>2048</x:v>
      </x:c>
      <x:c r="E34" s="2976" t="n">
        <x:v>128</x:v>
      </x:c>
      <x:c r="F34" s="2976" t="n">
        <x:v>256</x:v>
      </x:c>
      <x:c r="G34" s="2976" t="n">
        <x:v>128</x:v>
      </x:c>
      <x:c r="H34" s="2977" t="n">
        <x:v>32</x:v>
      </x:c>
      <x:c r="I34" s="2977" t="n">
        <x:v>64</x:v>
      </x:c>
      <x:c r="J34" s="2977" t="n">
        <x:v>96</x:v>
      </x:c>
      <x:c r="K34" s="2978" t="n">
        <x:v>128</x:v>
      </x:c>
      <x:c r="L34" s="2976" t="n">
        <x:v>327132</x:v>
      </x:c>
      <x:c r="M34" s="2895" t="n">
        <x:f>IF(AND(ISNUMBER(L34),L34&gt;0),ROUND(B34*C34*D34/4096/L34*100,1)/100,"")</x:f>
        <x:v>0.8009999999999999</x:v>
      </x:c>
      <x:c r="N34" s="2976" t="n">
        <x:f>IF(OR(B34="",C34="",D34="",E34="",F34="",G34=""),"",ROUNDUP(B34/MIN(E34,128),0)*(C34/F34)*(D34/G34)*((MIN(B34,MIN(E34,128))+F34)*G34*2/1024))</x:f>
        <x:v>24576</x:v>
      </x:c>
      <x:c r="O34" s="2896" t="n">
        <x:f>IF(AND(ISNUMBER(N34),ISNUMBER(K34),K34&gt;0),N34*1024/K34,"")</x:f>
        <x:v>196608</x:v>
      </x:c>
      <x:c r="P34" s="2897" t="n">
        <x:f>IF(OR(E34="",F34="",G34=""),"",((H34+I34)*1024)/(E34*F34*G34/4096))</x:f>
        <x:v>96</x:v>
      </x:c>
      <x:c r="Q34" s="2897" t="n">
        <x:f>IF(OR(E34="",F34="",G34=""),"",(E34*F34*4)/(E34*F34*G34/4096))</x:f>
        <x:v>128</x:v>
      </x:c>
      <x:c r="R34" s="2895" t="n">
        <x:f>IF(AND(ISNUMBER(K34),K34&gt;0,ISNUMBER(P34),P34&gt;0),MIN(1,K34/P34),"")</x:f>
        <x:v>1</x:v>
      </x:c>
      <x:c r="S34" s="2895" t="n">
        <x:f>IF(AND(ISNUMBER(K34),K34&gt;0,ISNUMBER(Q34),Q34&gt;0),MIN(1,K34/Q34),"")</x:f>
        <x:v>1</x:v>
      </x:c>
      <x:c r="T34" s="2895" t="n">
        <x:f>IF(AND(ISNUMBER(R34),ISNUMBER(S34)),MIN(R34,S34),"")</x:f>
        <x:v>1</x:v>
      </x:c>
      <x:c r="U34" s="2897" t="n">
        <x:f>IF(AND(ISNUMBER(M34),ISNUMBER(T34)),(M34-T34)*100,"")</x:f>
        <x:v>-19.900000000000006</x:v>
      </x:c>
      <x:c r="V34" s="2976" t="n">
        <x:v>284164</x:v>
      </x:c>
      <x:c r="W34" s="2895" t="n">
        <x:v>1.845</x:v>
      </x:c>
      <x:c r="X34" s="2895" t="n">
        <x:f>IF(AND(ISNUMBER(L34),ISNUMBER(V34),L34&gt;0,V34&gt;0),(L34-V34)/L34,"")</x:f>
        <x:v>0.13134759057505838</x:v>
      </x:c>
      <x:c r="Y34" s="2958" t="n">
        <x:f>IF(AND(ISNUMBER(L34),ISNUMBER(V34),L34&gt;0,V34&gt;0),L34/V34,"")</x:f>
        <x:v>1.1512084570881604</x:v>
      </x:c>
      <x:c r="Z34" s="2895" t="n">
        <x:f>IF(AND(ISNUMBER(C34),ISNUMBER(F34),C34&gt;0,F34&gt;0),1-F34/C34,"")</x:f>
        <x:v>0</x:v>
      </x:c>
      <x:c r="AA34" s="2935" t="inlineStr">
        <x:is>
          <x:t xml:space="preserve">PASS</x:t>
        </x:is>
      </x:c>
      <x:c r="AB34" s="2935" t="inlineStr">
        <x:is>
          <x:t xml:space="preserve">PASS</x:t>
        </x:is>
      </x:c>
      <x:c r="AC34" s="2905" t="inlineStr">
        <x:is>
          <x:t xml:space="preserve">本轮 model-main ae058a98 + 6参数(无SoC带宽/延迟) 2026-09-26</x:t>
        </x:is>
      </x:c>
    </x:row>
    <x:row r="35" ht="20" customHeight="1">
      <x:c r="A35" s="2891" t="inlineStr">
        <x:is>
          <x:t xml:space="preserve">FP16</x:t>
        </x:is>
      </x:c>
      <x:c r="B35" s="2976" t="n">
        <x:v>2048</x:v>
      </x:c>
      <x:c r="C35" s="2976" t="n">
        <x:v>256</x:v>
      </x:c>
      <x:c r="D35" s="2976" t="n">
        <x:v>2048</x:v>
      </x:c>
      <x:c r="E35" s="2976" t="n">
        <x:v>128</x:v>
      </x:c>
      <x:c r="F35" s="2976" t="n">
        <x:v>256</x:v>
      </x:c>
      <x:c r="G35" s="2976" t="n">
        <x:v>256</x:v>
      </x:c>
      <x:c r="H35" s="2977" t="n">
        <x:v>64</x:v>
      </x:c>
      <x:c r="I35" s="2977" t="n">
        <x:v>128</x:v>
      </x:c>
      <x:c r="J35" s="2977" t="n">
        <x:v>192</x:v>
      </x:c>
      <x:c r="K35" s="2978" t="n">
        <x:v>128</x:v>
      </x:c>
      <x:c r="L35" s="2976" t="n">
        <x:v>574137</x:v>
      </x:c>
      <x:c r="M35" s="2895" t="n">
        <x:f>IF(AND(ISNUMBER(L35),L35&gt;0),ROUND(B35*C35*D35/4096/L35*100,1)/100,"")</x:f>
        <x:v>0.457</x:v>
      </x:c>
      <x:c r="N35" s="2976" t="n">
        <x:f>IF(OR(B35="",C35="",D35="",E35="",F35="",G35=""),"",ROUNDUP(B35/MIN(E35,128),0)*(C35/F35)*(D35/G35)*((MIN(B35,MIN(E35,128))+F35)*G35*2/1024))</x:f>
        <x:v>24576</x:v>
      </x:c>
      <x:c r="O35" s="2896" t="n">
        <x:f>IF(AND(ISNUMBER(N35),ISNUMBER(K35),K35&gt;0),N35*1024/K35,"")</x:f>
        <x:v>196608</x:v>
      </x:c>
      <x:c r="P35" s="2897" t="n">
        <x:f>IF(OR(E35="",F35="",G35=""),"",((H35+I35)*1024)/(E35*F35*G35/4096))</x:f>
        <x:v>96</x:v>
      </x:c>
      <x:c r="Q35" s="2897" t="n">
        <x:f>IF(OR(E35="",F35="",G35=""),"",(E35*F35*4)/(E35*F35*G35/4096))</x:f>
        <x:v>64</x:v>
      </x:c>
      <x:c r="R35" s="2895" t="n">
        <x:f>IF(AND(ISNUMBER(K35),K35&gt;0,ISNUMBER(P35),P35&gt;0),MIN(1,K35/P35),"")</x:f>
        <x:v>1</x:v>
      </x:c>
      <x:c r="S35" s="2895" t="n">
        <x:f>IF(AND(ISNUMBER(K35),K35&gt;0,ISNUMBER(Q35),Q35&gt;0),MIN(1,K35/Q35),"")</x:f>
        <x:v>1</x:v>
      </x:c>
      <x:c r="T35" s="2895" t="n">
        <x:f>IF(AND(ISNUMBER(R35),ISNUMBER(S35)),MIN(R35,S35),"")</x:f>
        <x:v>1</x:v>
      </x:c>
      <x:c r="U35" s="2897" t="n">
        <x:f>IF(AND(ISNUMBER(M35),ISNUMBER(T35)),(M35-T35)*100,"")</x:f>
        <x:v>-54.29999999999999</x:v>
      </x:c>
      <x:c r="V35" s="2976" t="n">
        <x:v>296384</x:v>
      </x:c>
      <x:c r="W35" s="2895" t="n">
        <x:v>1.769</x:v>
      </x:c>
      <x:c r="X35" s="2895" t="n">
        <x:f>IF(AND(ISNUMBER(L35),ISNUMBER(V35),L35&gt;0,V35&gt;0),(L35-V35)/L35,"")</x:f>
        <x:v>0.4837747784936348</x:v>
      </x:c>
      <x:c r="Y35" s="2958" t="n">
        <x:f>IF(AND(ISNUMBER(L35),ISNUMBER(V35),L35&gt;0,V35&gt;0),L35/V35,"")</x:f>
        <x:v>1.9371389818613691</x:v>
      </x:c>
      <x:c r="Z35" s="2895" t="n">
        <x:f>IF(AND(ISNUMBER(C35),ISNUMBER(F35),C35&gt;0,F35&gt;0),1-F35/C35,"")</x:f>
        <x:v>0</x:v>
      </x:c>
      <x:c r="AA35" s="2935" t="inlineStr">
        <x:is>
          <x:t xml:space="preserve">PASS</x:t>
        </x:is>
      </x:c>
      <x:c r="AB35" s="2935" t="inlineStr">
        <x:is>
          <x:t xml:space="preserve">PASS</x:t>
        </x:is>
      </x:c>
      <x:c r="AC35" s="2905" t="inlineStr">
        <x:is>
          <x:t xml:space="preserve">本轮 model-main ae058a98 + 6参数(无SoC带宽/延迟) 2026-09-26</x:t>
        </x:is>
      </x:c>
    </x:row>
    <x:row r="36" ht="20" customHeight="1">
      <x:c r="A36" s="2822" t="inlineStr">
        <x:is>
          <x:t xml:space="preserve">FP8</x:t>
        </x:is>
      </x:c>
      <x:c r="B36" s="2964" t="n"/>
      <x:c r="C36" s="2964" t="n"/>
      <x:c r="D36" s="2964" t="n"/>
      <x:c r="E36" s="2964" t="n"/>
      <x:c r="F36" s="2964" t="n"/>
      <x:c r="G36" s="2964" t="n"/>
      <x:c r="H36" s="2965" t="n"/>
      <x:c r="I36" s="2965" t="n"/>
      <x:c r="J36" s="2965" t="n"/>
      <x:c r="K36" s="2966"/>
      <x:c r="L36" s="2964" t="n"/>
      <x:c r="M36" s="2826" t="n"/>
      <x:c r="N36" s="2964" t="n"/>
      <x:c r="O36" s="2827" t="n"/>
      <x:c r="P36" s="2828" t="n"/>
      <x:c r="Q36" s="2828" t="n"/>
      <x:c r="R36" s="2826" t="n"/>
      <x:c r="S36" s="2826" t="n"/>
      <x:c r="T36" s="2826" t="n"/>
      <x:c r="U36" s="2828" t="n"/>
      <x:c r="V36" s="2964" t="n"/>
      <x:c r="W36" s="2826" t="n"/>
      <x:c r="X36" s="2826" t="n"/>
      <x:c r="Y36" s="2954" t="n"/>
      <x:c r="Z36" s="2826" t="n"/>
      <x:c r="AA36" s="2822" t="n"/>
      <x:c r="AB36" s="2822" t="n"/>
      <x:c r="AC36" s="2822" t="n"/>
    </x:row>
    <x:row r="37" ht="20" customHeight="1">
      <x:c r="A37" s="2916" t="inlineStr">
        <x:is>
          <x:t xml:space="preserve">FP8</x:t>
        </x:is>
      </x:c>
      <x:c r="B37" s="2979" t="n">
        <x:v>2048</x:v>
      </x:c>
      <x:c r="C37" s="2979" t="n">
        <x:v>256</x:v>
      </x:c>
      <x:c r="D37" s="2979" t="n">
        <x:v>2048</x:v>
      </x:c>
      <x:c r="E37" s="2979" t="n">
        <x:v>128</x:v>
      </x:c>
      <x:c r="F37" s="2979" t="n">
        <x:v>64</x:v>
      </x:c>
      <x:c r="G37" s="2979" t="n">
        <x:v>256</x:v>
      </x:c>
      <x:c r="H37" s="2980" t="n">
        <x:v>32</x:v>
      </x:c>
      <x:c r="I37" s="2980" t="n">
        <x:v>16</x:v>
      </x:c>
      <x:c r="J37" s="2980" t="n">
        <x:v>48</x:v>
      </x:c>
      <x:c r="K37" s="2981" t="n">
        <x:v>128</x:v>
      </x:c>
      <x:c r="L37" s="2979" t="n">
        <x:v>319447</x:v>
      </x:c>
      <x:c r="M37" s="2920" t="n">
        <x:f>IF(AND(ISNUMBER(L37),L37&gt;0),ROUND(B37*C37*D37/8192/L37*100,1)/100,"")</x:f>
        <x:v>0.41</x:v>
      </x:c>
      <x:c r="N37" s="2979" t="n">
        <x:f>IF(OR(B37="",C37="",D37="",E37="",F37="",G37=""),"",ROUNDUP(B37/MIN(E37,128),0)*(C37/F37)*(D37/G37)*((MIN(B37,MIN(E37,128))+F37)*G37*1/1024))</x:f>
        <x:v>24576</x:v>
      </x:c>
      <x:c r="O37" s="2921" t="n">
        <x:f>IF(AND(ISNUMBER(N37),ISNUMBER(K37),K37&gt;0),N37*1024/K37,"")</x:f>
        <x:v>196608</x:v>
      </x:c>
      <x:c r="P37" s="2922" t="n">
        <x:f>IF(OR(E37="",F37="",G37=""),"",((H37+I37)*1024)/(E37*F37*G37/8192))</x:f>
        <x:v>192</x:v>
      </x:c>
      <x:c r="Q37" s="2922" t="n">
        <x:f>IF(OR(E37="",F37="",G37=""),"",(E37*F37*4)/(E37*F37*G37/8192))</x:f>
        <x:v>128</x:v>
      </x:c>
      <x:c r="R37" s="2920" t="n">
        <x:f>IF(AND(ISNUMBER(K37),K37&gt;0,ISNUMBER(P37),P37&gt;0),MIN(1,K37/P37),"")</x:f>
        <x:v>0.6666666666666666</x:v>
      </x:c>
      <x:c r="S37" s="2920" t="n">
        <x:f>IF(AND(ISNUMBER(K37),K37&gt;0,ISNUMBER(Q37),Q37&gt;0),MIN(1,K37/Q37),"")</x:f>
        <x:v>1</x:v>
      </x:c>
      <x:c r="T37" s="2920" t="n">
        <x:f>IF(AND(ISNUMBER(R37),ISNUMBER(S37)),MIN(R37,S37),"")</x:f>
        <x:v>0.6666666666666666</x:v>
      </x:c>
      <x:c r="U37" s="2922" t="n">
        <x:f>IF(AND(ISNUMBER(M37),ISNUMBER(T37)),(M37-T37)*100,"")</x:f>
        <x:v>-25.666666666666664</x:v>
      </x:c>
      <x:c r="V37" s="2979" t="n"/>
      <x:c r="W37" s="2920" t="n"/>
      <x:c r="X37" s="2920" t="n"/>
      <x:c r="Y37" s="2959" t="n"/>
      <x:c r="Z37" s="2920" t="n"/>
      <x:c r="AA37" s="2937" t="n"/>
      <x:c r="AB37" s="2938" t="inlineStr">
        <x:is>
          <x:t xml:space="preserve">PASS</x:t>
        </x:is>
      </x:c>
      <x:c r="AC37" s="2930" t="inlineStr">
        <x:is>
          <x:t xml:space="preserve">matmul_shared_lowp（FP8）；本轮 model-main ae058a98 + 6参数(无SoC带宽/延迟) 2026-09-26</x:t>
        </x:is>
      </x:c>
    </x:row>
    <x:row r="38" ht="20" customHeight="1">
      <x:c r="A38" s="2916" t="inlineStr">
        <x:is>
          <x:t xml:space="preserve">FP8</x:t>
        </x:is>
      </x:c>
      <x:c r="B38" s="2979" t="n">
        <x:v>2048</x:v>
      </x:c>
      <x:c r="C38" s="2979" t="n">
        <x:v>256</x:v>
      </x:c>
      <x:c r="D38" s="2979" t="n">
        <x:v>2048</x:v>
      </x:c>
      <x:c r="E38" s="2979" t="n">
        <x:v>128</x:v>
      </x:c>
      <x:c r="F38" s="2979" t="n">
        <x:v>64</x:v>
      </x:c>
      <x:c r="G38" s="2979" t="n">
        <x:v>512</x:v>
      </x:c>
      <x:c r="H38" s="2980" t="n">
        <x:v>64</x:v>
      </x:c>
      <x:c r="I38" s="2980" t="n">
        <x:v>32</x:v>
      </x:c>
      <x:c r="J38" s="2980" t="n">
        <x:v>96</x:v>
      </x:c>
      <x:c r="K38" s="2981" t="n">
        <x:v>128</x:v>
      </x:c>
      <x:c r="L38" s="2979" t="n">
        <x:v>319457</x:v>
      </x:c>
      <x:c r="M38" s="2920" t="n">
        <x:f>IF(AND(ISNUMBER(L38),L38&gt;0),ROUND(B38*C38*D38/8192/L38*100,1)/100,"")</x:f>
        <x:v>0.41</x:v>
      </x:c>
      <x:c r="N38" s="2979" t="n">
        <x:f>IF(OR(B38="",C38="",D38="",E38="",F38="",G38=""),"",ROUNDUP(B38/MIN(E38,128),0)*(C38/F38)*(D38/G38)*((MIN(B38,MIN(E38,128))+F38)*G38*1/1024))</x:f>
        <x:v>24576</x:v>
      </x:c>
      <x:c r="O38" s="2921" t="n">
        <x:f>IF(AND(ISNUMBER(N38),ISNUMBER(K38),K38&gt;0),N38*1024/K38,"")</x:f>
        <x:v>196608</x:v>
      </x:c>
      <x:c r="P38" s="2922" t="n">
        <x:f>IF(OR(E38="",F38="",G38=""),"",((H38+I38)*1024)/(E38*F38*G38/8192))</x:f>
        <x:v>192</x:v>
      </x:c>
      <x:c r="Q38" s="2922" t="n">
        <x:f>IF(OR(E38="",F38="",G38=""),"",(E38*F38*4)/(E38*F38*G38/8192))</x:f>
        <x:v>64</x:v>
      </x:c>
      <x:c r="R38" s="2920" t="n">
        <x:f>IF(AND(ISNUMBER(K38),K38&gt;0,ISNUMBER(P38),P38&gt;0),MIN(1,K38/P38),"")</x:f>
        <x:v>0.6666666666666666</x:v>
      </x:c>
      <x:c r="S38" s="2920" t="n">
        <x:f>IF(AND(ISNUMBER(K38),K38&gt;0,ISNUMBER(Q38),Q38&gt;0),MIN(1,K38/Q38),"")</x:f>
        <x:v>1</x:v>
      </x:c>
      <x:c r="T38" s="2920" t="n">
        <x:f>IF(AND(ISNUMBER(R38),ISNUMBER(S38)),MIN(R38,S38),"")</x:f>
        <x:v>0.6666666666666666</x:v>
      </x:c>
      <x:c r="U38" s="2922" t="n">
        <x:f>IF(AND(ISNUMBER(M38),ISNUMBER(T38)),(M38-T38)*100,"")</x:f>
        <x:v>-25.666666666666664</x:v>
      </x:c>
      <x:c r="V38" s="2979" t="n"/>
      <x:c r="W38" s="2920" t="n"/>
      <x:c r="X38" s="2920" t="n"/>
      <x:c r="Y38" s="2959" t="n"/>
      <x:c r="Z38" s="2920" t="n"/>
      <x:c r="AA38" s="2937" t="n"/>
      <x:c r="AB38" s="2938" t="inlineStr">
        <x:is>
          <x:t xml:space="preserve">PASS</x:t>
        </x:is>
      </x:c>
      <x:c r="AC38" s="2930" t="inlineStr">
        <x:is>
          <x:t xml:space="preserve">matmul_shared_lowp（FP8）；本轮 model-main ae058a98 + 6参数(无SoC带宽/延迟) 2026-09-26</x:t>
        </x:is>
      </x:c>
    </x:row>
    <x:row r="39" ht="20" customHeight="1">
      <x:c r="A39" s="2916" t="inlineStr">
        <x:is>
          <x:t xml:space="preserve">FP8</x:t>
        </x:is>
      </x:c>
      <x:c r="B39" s="2979" t="n">
        <x:v>2048</x:v>
      </x:c>
      <x:c r="C39" s="2979" t="n">
        <x:v>256</x:v>
      </x:c>
      <x:c r="D39" s="2979" t="n">
        <x:v>2048</x:v>
      </x:c>
      <x:c r="E39" s="2979" t="n">
        <x:v>128</x:v>
      </x:c>
      <x:c r="F39" s="2979" t="n">
        <x:v>64</x:v>
      </x:c>
      <x:c r="G39" s="2979" t="n">
        <x:v>1024</x:v>
      </x:c>
      <x:c r="H39" s="2980" t="n">
        <x:v>128</x:v>
      </x:c>
      <x:c r="I39" s="2980" t="n">
        <x:v>64</x:v>
      </x:c>
      <x:c r="J39" s="2980" t="n">
        <x:v>192</x:v>
      </x:c>
      <x:c r="K39" s="2981" t="n">
        <x:v>128</x:v>
      </x:c>
      <x:c r="L39" s="2979" t="n">
        <x:v>618815</x:v>
      </x:c>
      <x:c r="M39" s="2920" t="n">
        <x:f>IF(AND(ISNUMBER(L39),L39&gt;0),ROUND(B39*C39*D39/8192/L39*100,1)/100,"")</x:f>
        <x:v>0.212</x:v>
      </x:c>
      <x:c r="N39" s="2979" t="n">
        <x:f>IF(OR(B39="",C39="",D39="",E39="",F39="",G39=""),"",ROUNDUP(B39/MIN(E39,128),0)*(C39/F39)*(D39/G39)*((MIN(B39,MIN(E39,128))+F39)*G39*1/1024))</x:f>
        <x:v>24576</x:v>
      </x:c>
      <x:c r="O39" s="2921" t="n">
        <x:f>IF(AND(ISNUMBER(N39),ISNUMBER(K39),K39&gt;0),N39*1024/K39,"")</x:f>
        <x:v>196608</x:v>
      </x:c>
      <x:c r="P39" s="2922" t="n">
        <x:f>IF(OR(E39="",F39="",G39=""),"",((H39+I39)*1024)/(E39*F39*G39/8192))</x:f>
        <x:v>192</x:v>
      </x:c>
      <x:c r="Q39" s="2922" t="n">
        <x:f>IF(OR(E39="",F39="",G39=""),"",(E39*F39*4)/(E39*F39*G39/8192))</x:f>
        <x:v>32</x:v>
      </x:c>
      <x:c r="R39" s="2920" t="n">
        <x:f>IF(AND(ISNUMBER(K39),K39&gt;0,ISNUMBER(P39),P39&gt;0),MIN(1,K39/P39),"")</x:f>
        <x:v>0.6666666666666666</x:v>
      </x:c>
      <x:c r="S39" s="2920" t="n">
        <x:f>IF(AND(ISNUMBER(K39),K39&gt;0,ISNUMBER(Q39),Q39&gt;0),MIN(1,K39/Q39),"")</x:f>
        <x:v>1</x:v>
      </x:c>
      <x:c r="T39" s="2920" t="n">
        <x:f>IF(AND(ISNUMBER(R39),ISNUMBER(S39)),MIN(R39,S39),"")</x:f>
        <x:v>0.6666666666666666</x:v>
      </x:c>
      <x:c r="U39" s="2922" t="n">
        <x:f>IF(AND(ISNUMBER(M39),ISNUMBER(T39)),(M39-T39)*100,"")</x:f>
        <x:v>-45.46666666666667</x:v>
      </x:c>
      <x:c r="V39" s="2979" t="n"/>
      <x:c r="W39" s="2920" t="n"/>
      <x:c r="X39" s="2920" t="n"/>
      <x:c r="Y39" s="2959" t="n"/>
      <x:c r="Z39" s="2920" t="n"/>
      <x:c r="AA39" s="2937" t="n"/>
      <x:c r="AB39" s="2938" t="inlineStr">
        <x:is>
          <x:t xml:space="preserve">PASS</x:t>
        </x:is>
      </x:c>
      <x:c r="AC39" s="2930" t="inlineStr">
        <x:is>
          <x:t xml:space="preserve">matmul_shared_lowp（FP8）；本轮 model-main ae058a98 + 6参数(无SoC带宽/延迟) 2026-09-26</x:t>
        </x:is>
      </x:c>
    </x:row>
    <x:row r="40" ht="20" customHeight="1">
      <x:c r="A40" s="2916" t="inlineStr">
        <x:is>
          <x:t xml:space="preserve">FP8</x:t>
        </x:is>
      </x:c>
      <x:c r="B40" s="2979" t="n">
        <x:v>2048</x:v>
      </x:c>
      <x:c r="C40" s="2979" t="n">
        <x:v>256</x:v>
      </x:c>
      <x:c r="D40" s="2979" t="n">
        <x:v>2048</x:v>
      </x:c>
      <x:c r="E40" s="2979" t="n">
        <x:v>128</x:v>
      </x:c>
      <x:c r="F40" s="2979" t="n">
        <x:v>128</x:v>
      </x:c>
      <x:c r="G40" s="2979" t="n">
        <x:v>256</x:v>
      </x:c>
      <x:c r="H40" s="2980" t="n">
        <x:v>32</x:v>
      </x:c>
      <x:c r="I40" s="2980" t="n">
        <x:v>32</x:v>
      </x:c>
      <x:c r="J40" s="2980" t="n">
        <x:v>64</x:v>
      </x:c>
      <x:c r="K40" s="2981" t="n">
        <x:v>128</x:v>
      </x:c>
      <x:c r="L40" s="2979" t="n">
        <x:v>214918</x:v>
      </x:c>
      <x:c r="M40" s="2920" t="n">
        <x:f>IF(AND(ISNUMBER(L40),L40&gt;0),ROUND(B40*C40*D40/8192/L40*100,1)/100,"")</x:f>
        <x:v>0.61</x:v>
      </x:c>
      <x:c r="N40" s="2979" t="n">
        <x:f>IF(OR(B40="",C40="",D40="",E40="",F40="",G40=""),"",ROUNDUP(B40/MIN(E40,128),0)*(C40/F40)*(D40/G40)*((MIN(B40,MIN(E40,128))+F40)*G40*1/1024))</x:f>
        <x:v>16384</x:v>
      </x:c>
      <x:c r="O40" s="2921" t="n">
        <x:f>IF(AND(ISNUMBER(N40),ISNUMBER(K40),K40&gt;0),N40*1024/K40,"")</x:f>
        <x:v>131072</x:v>
      </x:c>
      <x:c r="P40" s="2922" t="n">
        <x:f>IF(OR(E40="",F40="",G40=""),"",((H40+I40)*1024)/(E40*F40*G40/8192))</x:f>
        <x:v>128</x:v>
      </x:c>
      <x:c r="Q40" s="2922" t="n">
        <x:f>IF(OR(E40="",F40="",G40=""),"",(E40*F40*4)/(E40*F40*G40/8192))</x:f>
        <x:v>128</x:v>
      </x:c>
      <x:c r="R40" s="2920" t="n">
        <x:f>IF(AND(ISNUMBER(K40),K40&gt;0,ISNUMBER(P40),P40&gt;0),MIN(1,K40/P40),"")</x:f>
        <x:v>1</x:v>
      </x:c>
      <x:c r="S40" s="2920" t="n">
        <x:f>IF(AND(ISNUMBER(K40),K40&gt;0,ISNUMBER(Q40),Q40&gt;0),MIN(1,K40/Q40),"")</x:f>
        <x:v>1</x:v>
      </x:c>
      <x:c r="T40" s="2920" t="n">
        <x:f>IF(AND(ISNUMBER(R40),ISNUMBER(S40)),MIN(R40,S40),"")</x:f>
        <x:v>1</x:v>
      </x:c>
      <x:c r="U40" s="2922" t="n">
        <x:f>IF(AND(ISNUMBER(M40),ISNUMBER(T40)),(M40-T40)*100,"")</x:f>
        <x:v>-39</x:v>
      </x:c>
      <x:c r="V40" s="2979" t="n"/>
      <x:c r="W40" s="2920" t="n"/>
      <x:c r="X40" s="2920" t="n"/>
      <x:c r="Y40" s="2959" t="n"/>
      <x:c r="Z40" s="2920" t="n"/>
      <x:c r="AA40" s="2937" t="n"/>
      <x:c r="AB40" s="2938" t="inlineStr">
        <x:is>
          <x:t xml:space="preserve">PASS</x:t>
        </x:is>
      </x:c>
      <x:c r="AC40" s="2930" t="inlineStr">
        <x:is>
          <x:t xml:space="preserve">matmul_shared_lowp（FP8）；本轮 model-main ae058a98 + 6参数(无SoC带宽/延迟) 2026-09-26</x:t>
        </x:is>
      </x:c>
    </x:row>
    <x:row r="41" ht="20" customHeight="1">
      <x:c r="A41" s="2916" t="inlineStr">
        <x:is>
          <x:t xml:space="preserve">FP8</x:t>
        </x:is>
      </x:c>
      <x:c r="B41" s="2979" t="n">
        <x:v>2048</x:v>
      </x:c>
      <x:c r="C41" s="2979" t="n">
        <x:v>256</x:v>
      </x:c>
      <x:c r="D41" s="2979" t="n">
        <x:v>2048</x:v>
      </x:c>
      <x:c r="E41" s="2979" t="n">
        <x:v>128</x:v>
      </x:c>
      <x:c r="F41" s="2979" t="n">
        <x:v>128</x:v>
      </x:c>
      <x:c r="G41" s="2979" t="n">
        <x:v>512</x:v>
      </x:c>
      <x:c r="H41" s="2980" t="n">
        <x:v>64</x:v>
      </x:c>
      <x:c r="I41" s="2980" t="n">
        <x:v>64</x:v>
      </x:c>
      <x:c r="J41" s="2980" t="n">
        <x:v>128</x:v>
      </x:c>
      <x:c r="K41" s="2981" t="n">
        <x:v>128</x:v>
      </x:c>
      <x:c r="L41" s="2979" t="n">
        <x:v>231329</x:v>
      </x:c>
      <x:c r="M41" s="2920" t="n">
        <x:f>IF(AND(ISNUMBER(L41),L41&gt;0),ROUND(B41*C41*D41/8192/L41*100,1)/100,"")</x:f>
        <x:v>0.5670000000000001</x:v>
      </x:c>
      <x:c r="N41" s="2979" t="n">
        <x:f>IF(OR(B41="",C41="",D41="",E41="",F41="",G41=""),"",ROUNDUP(B41/MIN(E41,128),0)*(C41/F41)*(D41/G41)*((MIN(B41,MIN(E41,128))+F41)*G41*1/1024))</x:f>
        <x:v>16384</x:v>
      </x:c>
      <x:c r="O41" s="2921" t="n">
        <x:f>IF(AND(ISNUMBER(N41),ISNUMBER(K41),K41&gt;0),N41*1024/K41,"")</x:f>
        <x:v>131072</x:v>
      </x:c>
      <x:c r="P41" s="2922" t="n">
        <x:f>IF(OR(E41="",F41="",G41=""),"",((H41+I41)*1024)/(E41*F41*G41/8192))</x:f>
        <x:v>128</x:v>
      </x:c>
      <x:c r="Q41" s="2922" t="n">
        <x:f>IF(OR(E41="",F41="",G41=""),"",(E41*F41*4)/(E41*F41*G41/8192))</x:f>
        <x:v>64</x:v>
      </x:c>
      <x:c r="R41" s="2920" t="n">
        <x:f>IF(AND(ISNUMBER(K41),K41&gt;0,ISNUMBER(P41),P41&gt;0),MIN(1,K41/P41),"")</x:f>
        <x:v>1</x:v>
      </x:c>
      <x:c r="S41" s="2920" t="n">
        <x:f>IF(AND(ISNUMBER(K41),K41&gt;0,ISNUMBER(Q41),Q41&gt;0),MIN(1,K41/Q41),"")</x:f>
        <x:v>1</x:v>
      </x:c>
      <x:c r="T41" s="2920" t="n">
        <x:f>IF(AND(ISNUMBER(R41),ISNUMBER(S41)),MIN(R41,S41),"")</x:f>
        <x:v>1</x:v>
      </x:c>
      <x:c r="U41" s="2922" t="n">
        <x:f>IF(AND(ISNUMBER(M41),ISNUMBER(T41)),(M41-T41)*100,"")</x:f>
        <x:v>-43.3</x:v>
      </x:c>
      <x:c r="V41" s="2979" t="n"/>
      <x:c r="W41" s="2920" t="n"/>
      <x:c r="X41" s="2920" t="n"/>
      <x:c r="Y41" s="2959" t="n"/>
      <x:c r="Z41" s="2920" t="n"/>
      <x:c r="AA41" s="2937" t="n"/>
      <x:c r="AB41" s="2938" t="inlineStr">
        <x:is>
          <x:t xml:space="preserve">PASS</x:t>
        </x:is>
      </x:c>
      <x:c r="AC41" s="2930" t="inlineStr">
        <x:is>
          <x:t xml:space="preserve">matmul_shared_lowp（FP8）；本轮 model-main ae058a98 + 6参数(无SoC带宽/延迟) 2026-09-26</x:t>
        </x:is>
      </x:c>
    </x:row>
    <x:row r="42" ht="20" customHeight="1">
      <x:c r="A42" s="2916" t="inlineStr">
        <x:is>
          <x:t xml:space="preserve">FP8</x:t>
        </x:is>
      </x:c>
      <x:c r="B42" s="2979" t="n">
        <x:v>2048</x:v>
      </x:c>
      <x:c r="C42" s="2979" t="n">
        <x:v>256</x:v>
      </x:c>
      <x:c r="D42" s="2979" t="n">
        <x:v>2048</x:v>
      </x:c>
      <x:c r="E42" s="2979" t="n">
        <x:v>128</x:v>
      </x:c>
      <x:c r="F42" s="2979" t="n">
        <x:v>128</x:v>
      </x:c>
      <x:c r="G42" s="2979" t="n">
        <x:v>1024</x:v>
      </x:c>
      <x:c r="H42" s="2980" t="n">
        <x:v>128</x:v>
      </x:c>
      <x:c r="I42" s="2980" t="n">
        <x:v>128</x:v>
      </x:c>
      <x:c r="J42" s="2980" t="n">
        <x:v>256</x:v>
      </x:c>
      <x:c r="K42" s="2981" t="n">
        <x:v>128</x:v>
      </x:c>
      <x:c r="L42" s="2979" t="n">
        <x:v>426208</x:v>
      </x:c>
      <x:c r="M42" s="2920" t="n">
        <x:f>IF(AND(ISNUMBER(L42),L42&gt;0),ROUND(B42*C42*D42/8192/L42*100,1)/100,"")</x:f>
        <x:v>0.308</x:v>
      </x:c>
      <x:c r="N42" s="2979" t="n">
        <x:f>IF(OR(B42="",C42="",D42="",E42="",F42="",G42=""),"",ROUNDUP(B42/MIN(E42,128),0)*(C42/F42)*(D42/G42)*((MIN(B42,MIN(E42,128))+F42)*G42*1/1024))</x:f>
        <x:v>16384</x:v>
      </x:c>
      <x:c r="O42" s="2921" t="n">
        <x:f>IF(AND(ISNUMBER(N42),ISNUMBER(K42),K42&gt;0),N42*1024/K42,"")</x:f>
        <x:v>131072</x:v>
      </x:c>
      <x:c r="P42" s="2922" t="n">
        <x:f>IF(OR(E42="",F42="",G42=""),"",((H42+I42)*1024)/(E42*F42*G42/8192))</x:f>
        <x:v>128</x:v>
      </x:c>
      <x:c r="Q42" s="2922" t="n">
        <x:f>IF(OR(E42="",F42="",G42=""),"",(E42*F42*4)/(E42*F42*G42/8192))</x:f>
        <x:v>32</x:v>
      </x:c>
      <x:c r="R42" s="2920" t="n">
        <x:f>IF(AND(ISNUMBER(K42),K42&gt;0,ISNUMBER(P42),P42&gt;0),MIN(1,K42/P42),"")</x:f>
        <x:v>1</x:v>
      </x:c>
      <x:c r="S42" s="2920" t="n">
        <x:f>IF(AND(ISNUMBER(K42),K42&gt;0,ISNUMBER(Q42),Q42&gt;0),MIN(1,K42/Q42),"")</x:f>
        <x:v>1</x:v>
      </x:c>
      <x:c r="T42" s="2920" t="n">
        <x:f>IF(AND(ISNUMBER(R42),ISNUMBER(S42)),MIN(R42,S42),"")</x:f>
        <x:v>1</x:v>
      </x:c>
      <x:c r="U42" s="2922" t="n">
        <x:f>IF(AND(ISNUMBER(M42),ISNUMBER(T42)),(M42-T42)*100,"")</x:f>
        <x:v>-69.19999999999999</x:v>
      </x:c>
      <x:c r="V42" s="2979" t="n"/>
      <x:c r="W42" s="2920" t="n"/>
      <x:c r="X42" s="2920" t="n"/>
      <x:c r="Y42" s="2959" t="n"/>
      <x:c r="Z42" s="2920" t="n"/>
      <x:c r="AA42" s="2937" t="n"/>
      <x:c r="AB42" s="2938" t="inlineStr">
        <x:is>
          <x:t xml:space="preserve">PASS</x:t>
        </x:is>
      </x:c>
      <x:c r="AC42" s="2930" t="inlineStr">
        <x:is>
          <x:t xml:space="preserve">matmul_shared_lowp（FP8）；本轮 model-main ae058a98 + 6参数(无SoC带宽/延迟) 2026-09-26</x:t>
        </x:is>
      </x:c>
    </x:row>
    <x:row r="43" ht="20" customHeight="1">
      <x:c r="A43" s="2916" t="inlineStr">
        <x:is>
          <x:t xml:space="preserve">FP8</x:t>
        </x:is>
      </x:c>
      <x:c r="B43" s="2979" t="n">
        <x:v>2048</x:v>
      </x:c>
      <x:c r="C43" s="2979" t="n">
        <x:v>256</x:v>
      </x:c>
      <x:c r="D43" s="2979" t="n">
        <x:v>2048</x:v>
      </x:c>
      <x:c r="E43" s="2979" t="n">
        <x:v>128</x:v>
      </x:c>
      <x:c r="F43" s="2979" t="n">
        <x:v>256</x:v>
      </x:c>
      <x:c r="G43" s="2979" t="n">
        <x:v>64</x:v>
      </x:c>
      <x:c r="H43" s="2980" t="n">
        <x:v>8</x:v>
      </x:c>
      <x:c r="I43" s="2980" t="n">
        <x:v>16</x:v>
      </x:c>
      <x:c r="J43" s="2980" t="n">
        <x:v>24</x:v>
      </x:c>
      <x:c r="K43" s="2981" t="n">
        <x:v>128</x:v>
      </x:c>
      <x:c r="L43" s="2979" t="n">
        <x:v>356562</x:v>
      </x:c>
      <x:c r="M43" s="2920" t="n">
        <x:f>IF(AND(ISNUMBER(L43),L43&gt;0),ROUND(B43*C43*D43/8192/L43*100,1)/100,"")</x:f>
        <x:v>0.368</x:v>
      </x:c>
      <x:c r="N43" s="2979" t="n">
        <x:f>IF(OR(B43="",C43="",D43="",E43="",F43="",G43=""),"",ROUNDUP(B43/MIN(E43,128),0)*(C43/F43)*(D43/G43)*((MIN(B43,MIN(E43,128))+F43)*G43*1/1024))</x:f>
        <x:v>12288</x:v>
      </x:c>
      <x:c r="O43" s="2921" t="n">
        <x:f>IF(AND(ISNUMBER(N43),ISNUMBER(K43),K43&gt;0),N43*1024/K43,"")</x:f>
        <x:v>98304</x:v>
      </x:c>
      <x:c r="P43" s="2922" t="n">
        <x:f>IF(OR(E43="",F43="",G43=""),"",((H43+I43)*1024)/(E43*F43*G43/8192))</x:f>
        <x:v>96</x:v>
      </x:c>
      <x:c r="Q43" s="2922" t="n">
        <x:f>IF(OR(E43="",F43="",G43=""),"",(E43*F43*4)/(E43*F43*G43/8192))</x:f>
        <x:v>512</x:v>
      </x:c>
      <x:c r="R43" s="2920" t="n">
        <x:f>IF(AND(ISNUMBER(K43),K43&gt;0,ISNUMBER(P43),P43&gt;0),MIN(1,K43/P43),"")</x:f>
        <x:v>1</x:v>
      </x:c>
      <x:c r="S43" s="2920" t="n">
        <x:f>IF(AND(ISNUMBER(K43),K43&gt;0,ISNUMBER(Q43),Q43&gt;0),MIN(1,K43/Q43),"")</x:f>
        <x:v>0.25</x:v>
      </x:c>
      <x:c r="T43" s="2920" t="n">
        <x:f>IF(AND(ISNUMBER(R43),ISNUMBER(S43)),MIN(R43,S43),"")</x:f>
        <x:v>0.25</x:v>
      </x:c>
      <x:c r="U43" s="2922" t="n">
        <x:f>IF(AND(ISNUMBER(M43),ISNUMBER(T43)),(M43-T43)*100,"")</x:f>
        <x:v>11.799999999999999</x:v>
      </x:c>
      <x:c r="V43" s="2979" t="n"/>
      <x:c r="W43" s="2920" t="n"/>
      <x:c r="X43" s="2920" t="n"/>
      <x:c r="Y43" s="2959" t="n"/>
      <x:c r="Z43" s="2920" t="n"/>
      <x:c r="AA43" s="2937" t="n"/>
      <x:c r="AB43" s="2938" t="inlineStr">
        <x:is>
          <x:t xml:space="preserve">PASS</x:t>
        </x:is>
      </x:c>
      <x:c r="AC43" s="2930" t="inlineStr">
        <x:is>
          <x:t xml:space="preserve">本轮 model-main 84e02222 + 8参数(读写113 B/c, 256KB ShareTReg) 2026-09-23</x:t>
        </x:is>
      </x:c>
    </x:row>
    <x:row r="44" ht="20" customHeight="1">
      <x:c r="A44" s="2916" t="inlineStr">
        <x:is>
          <x:t xml:space="preserve">FP8</x:t>
        </x:is>
      </x:c>
      <x:c r="B44" s="2979" t="n">
        <x:v>2048</x:v>
      </x:c>
      <x:c r="C44" s="2979" t="n">
        <x:v>256</x:v>
      </x:c>
      <x:c r="D44" s="2979" t="n">
        <x:v>2048</x:v>
      </x:c>
      <x:c r="E44" s="2979" t="n">
        <x:v>128</x:v>
      </x:c>
      <x:c r="F44" s="2979" t="n">
        <x:v>256</x:v>
      </x:c>
      <x:c r="G44" s="2979" t="n">
        <x:v>256</x:v>
      </x:c>
      <x:c r="H44" s="2980" t="n">
        <x:v>32</x:v>
      </x:c>
      <x:c r="I44" s="2980" t="n">
        <x:v>64</x:v>
      </x:c>
      <x:c r="J44" s="2980" t="n">
        <x:v>96</x:v>
      </x:c>
      <x:c r="K44" s="2981" t="n">
        <x:v>128</x:v>
      </x:c>
      <x:c r="L44" s="2979" t="n">
        <x:v>168135</x:v>
      </x:c>
      <x:c r="M44" s="2920" t="n">
        <x:f>IF(AND(ISNUMBER(L44),L44&gt;0),ROUND(B44*C44*D44/8192/L44*100,1)/100,"")</x:f>
        <x:v>0.78</x:v>
      </x:c>
      <x:c r="N44" s="2979" t="n">
        <x:f>IF(OR(B44="",C44="",D44="",E44="",F44="",G44=""),"",ROUNDUP(B44/MIN(E44,128),0)*(C44/F44)*(D44/G44)*((MIN(B44,MIN(E44,128))+F44)*G44*1/1024))</x:f>
        <x:v>12288</x:v>
      </x:c>
      <x:c r="O44" s="2921" t="n">
        <x:f>IF(AND(ISNUMBER(N44),ISNUMBER(K44),K44&gt;0),N44*1024/K44,"")</x:f>
        <x:v>98304</x:v>
      </x:c>
      <x:c r="P44" s="2922" t="n">
        <x:f>IF(OR(E44="",F44="",G44=""),"",((H44+I44)*1024)/(E44*F44*G44/8192))</x:f>
        <x:v>96</x:v>
      </x:c>
      <x:c r="Q44" s="2922" t="n">
        <x:f>IF(OR(E44="",F44="",G44=""),"",(E44*F44*4)/(E44*F44*G44/8192))</x:f>
        <x:v>128</x:v>
      </x:c>
      <x:c r="R44" s="2920" t="n">
        <x:f>IF(AND(ISNUMBER(K44),K44&gt;0,ISNUMBER(P44),P44&gt;0),MIN(1,K44/P44),"")</x:f>
        <x:v>1</x:v>
      </x:c>
      <x:c r="S44" s="2920" t="n">
        <x:f>IF(AND(ISNUMBER(K44),K44&gt;0,ISNUMBER(Q44),Q44&gt;0),MIN(1,K44/Q44),"")</x:f>
        <x:v>1</x:v>
      </x:c>
      <x:c r="T44" s="2920" t="n">
        <x:f>IF(AND(ISNUMBER(R44),ISNUMBER(S44)),MIN(R44,S44),"")</x:f>
        <x:v>1</x:v>
      </x:c>
      <x:c r="U44" s="2922" t="n">
        <x:f>IF(AND(ISNUMBER(M44),ISNUMBER(T44)),(M44-T44)*100,"")</x:f>
        <x:v>-21.999999999999996</x:v>
      </x:c>
      <x:c r="V44" s="2979" t="n"/>
      <x:c r="W44" s="2920" t="n"/>
      <x:c r="X44" s="2920" t="n"/>
      <x:c r="Y44" s="2959" t="n"/>
      <x:c r="Z44" s="2920" t="n"/>
      <x:c r="AA44" s="2937" t="n"/>
      <x:c r="AB44" s="2938" t="inlineStr">
        <x:is>
          <x:t xml:space="preserve">PASS</x:t>
        </x:is>
      </x:c>
      <x:c r="AC44" s="2930" t="inlineStr">
        <x:is>
          <x:t xml:space="preserve">matmul_shared_lowp（FP8）；本轮 model-main ae058a98 + 6参数(无SoC带宽/延迟) 2026-09-26</x:t>
        </x:is>
      </x:c>
    </x:row>
    <x:row r="45" ht="20" customHeight="1">
      <x:c r="A45" s="2916" t="inlineStr">
        <x:is>
          <x:t xml:space="preserve">FP8</x:t>
        </x:is>
      </x:c>
      <x:c r="B45" s="2979" t="n">
        <x:v>2048</x:v>
      </x:c>
      <x:c r="C45" s="2979" t="n">
        <x:v>256</x:v>
      </x:c>
      <x:c r="D45" s="2979" t="n">
        <x:v>2048</x:v>
      </x:c>
      <x:c r="E45" s="2979" t="n">
        <x:v>128</x:v>
      </x:c>
      <x:c r="F45" s="2979" t="n">
        <x:v>256</x:v>
      </x:c>
      <x:c r="G45" s="2979" t="n">
        <x:v>512</x:v>
      </x:c>
      <x:c r="H45" s="2980" t="n">
        <x:v>64</x:v>
      </x:c>
      <x:c r="I45" s="2980" t="n">
        <x:v>128</x:v>
      </x:c>
      <x:c r="J45" s="2980" t="n">
        <x:v>192</x:v>
      </x:c>
      <x:c r="K45" s="2981" t="n">
        <x:v>128</x:v>
      </x:c>
      <x:c r="L45" s="2979" t="n">
        <x:v>324427</x:v>
      </x:c>
      <x:c r="M45" s="2920" t="n">
        <x:f>IF(AND(ISNUMBER(L45),L45&gt;0),ROUND(B45*C45*D45/8192/L45*100,1)/100,"")</x:f>
        <x:v>0.40399999999999997</x:v>
      </x:c>
      <x:c r="N45" s="2979" t="n">
        <x:f>IF(OR(B45="",C45="",D45="",E45="",F45="",G45=""),"",ROUNDUP(B45/MIN(E45,128),0)*(C45/F45)*(D45/G45)*((MIN(B45,MIN(E45,128))+F45)*G45*1/1024))</x:f>
        <x:v>12288</x:v>
      </x:c>
      <x:c r="O45" s="2921" t="n">
        <x:f>IF(AND(ISNUMBER(N45),ISNUMBER(K45),K45&gt;0),N45*1024/K45,"")</x:f>
        <x:v>98304</x:v>
      </x:c>
      <x:c r="P45" s="2922" t="n">
        <x:f>IF(OR(E45="",F45="",G45=""),"",((H45+I45)*1024)/(E45*F45*G45/8192))</x:f>
        <x:v>96</x:v>
      </x:c>
      <x:c r="Q45" s="2922" t="n">
        <x:f>IF(OR(E45="",F45="",G45=""),"",(E45*F45*4)/(E45*F45*G45/8192))</x:f>
        <x:v>64</x:v>
      </x:c>
      <x:c r="R45" s="2920" t="n">
        <x:f>IF(AND(ISNUMBER(K45),K45&gt;0,ISNUMBER(P45),P45&gt;0),MIN(1,K45/P45),"")</x:f>
        <x:v>1</x:v>
      </x:c>
      <x:c r="S45" s="2920" t="n">
        <x:f>IF(AND(ISNUMBER(K45),K45&gt;0,ISNUMBER(Q45),Q45&gt;0),MIN(1,K45/Q45),"")</x:f>
        <x:v>1</x:v>
      </x:c>
      <x:c r="T45" s="2920" t="n">
        <x:f>IF(AND(ISNUMBER(R45),ISNUMBER(S45)),MIN(R45,S45),"")</x:f>
        <x:v>1</x:v>
      </x:c>
      <x:c r="U45" s="2922" t="n">
        <x:f>IF(AND(ISNUMBER(M45),ISNUMBER(T45)),(M45-T45)*100,"")</x:f>
        <x:v>-59.60000000000001</x:v>
      </x:c>
      <x:c r="V45" s="2979" t="n"/>
      <x:c r="W45" s="2920" t="n"/>
      <x:c r="X45" s="2920" t="n"/>
      <x:c r="Y45" s="2959" t="n"/>
      <x:c r="Z45" s="2920" t="n"/>
      <x:c r="AA45" s="2937" t="n"/>
      <x:c r="AB45" s="2938" t="inlineStr">
        <x:is>
          <x:t xml:space="preserve">PASS</x:t>
        </x:is>
      </x:c>
      <x:c r="AC45" s="2930" t="inlineStr">
        <x:is>
          <x:t xml:space="preserve">matmul_shared_lowp（FP8）；本轮 model-main ae058a98 + 6参数(无SoC带宽/延迟) 2026-09-26</x:t>
        </x:is>
      </x:c>
    </x:row>
    <x:row r="46" ht="20" customHeight="1">
      <x:c r="A46" s="2916" t="inlineStr">
        <x:is>
          <x:t xml:space="preserve">FP8</x:t>
        </x:is>
      </x:c>
      <x:c r="B46" s="2979" t="n">
        <x:v>2048</x:v>
      </x:c>
      <x:c r="C46" s="2979" t="n">
        <x:v>256</x:v>
      </x:c>
      <x:c r="D46" s="2979" t="n">
        <x:v>2048</x:v>
      </x:c>
      <x:c r="E46" s="2979" t="n">
        <x:v>128</x:v>
      </x:c>
      <x:c r="F46" s="2979" t="n">
        <x:v>256</x:v>
      </x:c>
      <x:c r="G46" s="2979" t="n">
        <x:v>1024</x:v>
      </x:c>
      <x:c r="H46" s="2980" t="n">
        <x:v>128</x:v>
      </x:c>
      <x:c r="I46" s="2980" t="n">
        <x:v>256</x:v>
      </x:c>
      <x:c r="J46" s="2980" t="n">
        <x:v>384</x:v>
      </x:c>
      <x:c r="K46" s="2981" t="n">
        <x:v>128</x:v>
      </x:c>
      <x:c r="L46" s="2979" t="inlineStr">
        <x:is>
          <x:t xml:space="preserve">—</x:t>
        </x:is>
      </x:c>
      <x:c r="M46" s="2920" t="str">
        <x:f>IF(AND(ISNUMBER(L46),L46&gt;0),ROUND(B46*C46*D46/8192/L46*100,1)/100,"")</x:f>
      </x:c>
      <x:c r="N46" s="2979" t="n">
        <x:f>IF(OR(B46="",C46="",D46="",E46="",F46="",G46=""),"",ROUNDUP(B46/MIN(E46,128),0)*(C46/F46)*(D46/G46)*((MIN(B46,MIN(E46,128))+F46)*G46*1/1024))</x:f>
        <x:v>12288</x:v>
      </x:c>
      <x:c r="O46" s="2921" t="n">
        <x:f>IF(AND(ISNUMBER(N46),ISNUMBER(K46),K46&gt;0),N46*1024/K46,"")</x:f>
        <x:v>98304</x:v>
      </x:c>
      <x:c r="P46" s="2922" t="n">
        <x:f>IF(OR(E46="",F46="",G46=""),"",((H46+I46)*1024)/(E46*F46*G46/8192))</x:f>
        <x:v>96</x:v>
      </x:c>
      <x:c r="Q46" s="2922" t="n">
        <x:f>IF(OR(E46="",F46="",G46=""),"",(E46*F46*4)/(E46*F46*G46/8192))</x:f>
        <x:v>32</x:v>
      </x:c>
      <x:c r="R46" s="2920" t="n">
        <x:f>IF(AND(ISNUMBER(K46),K46&gt;0,ISNUMBER(P46),P46&gt;0),MIN(1,K46/P46),"")</x:f>
        <x:v>1</x:v>
      </x:c>
      <x:c r="S46" s="2920" t="n">
        <x:f>IF(AND(ISNUMBER(K46),K46&gt;0,ISNUMBER(Q46),Q46&gt;0),MIN(1,K46/Q46),"")</x:f>
        <x:v>1</x:v>
      </x:c>
      <x:c r="T46" s="2920" t="n">
        <x:f>IF(AND(ISNUMBER(R46),ISNUMBER(S46)),MIN(R46,S46),"")</x:f>
        <x:v>1</x:v>
      </x:c>
      <x:c r="U46" s="2922" t="str">
        <x:f>IF(AND(ISNUMBER(M46),ISNUMBER(T46)),(M46-T46)*100,"")</x:f>
      </x:c>
      <x:c r="V46" s="2979" t="n"/>
      <x:c r="W46" s="2920" t="n"/>
      <x:c r="X46" s="2920" t="n"/>
      <x:c r="Y46" s="2959" t="n"/>
      <x:c r="Z46" s="2920" t="n"/>
      <x:c r="AA46" s="2937" t="n"/>
      <x:c r="AB46" s="2939" t="inlineStr">
        <x:is>
          <x:t xml:space="preserve">COMPILE_FAIL</x:t>
        </x:is>
      </x:c>
      <x:c r="AC46" s="2930" t="inlineStr">
        <x:is>
          <x:t xml:space="preserve">容量超限：完整 SharedTile 足迹 &gt; 256 KiB；本轮 model-main 9b3a4405 + 8参数(256KB ShareTReg) 2026-09-22</x:t>
        </x:is>
      </x:c>
    </x:row>
    <x:row r="47" ht="20" customHeight="1">
      <x:c r="A47" s="2822" t="inlineStr">
        <x:is>
          <x:t xml:space="preserve">MXFP8</x:t>
        </x:is>
      </x:c>
      <x:c r="B47" s="2964" t="n"/>
      <x:c r="C47" s="2964" t="n"/>
      <x:c r="D47" s="2964" t="n"/>
      <x:c r="E47" s="2964" t="n"/>
      <x:c r="F47" s="2964" t="n"/>
      <x:c r="G47" s="2964" t="n"/>
      <x:c r="H47" s="2965" t="n"/>
      <x:c r="I47" s="2965" t="n"/>
      <x:c r="J47" s="2965" t="n"/>
      <x:c r="K47" s="2966"/>
      <x:c r="L47" s="2964" t="n"/>
      <x:c r="M47" s="2826" t="str"/>
      <x:c r="N47" s="2964" t="str"/>
      <x:c r="O47" s="2827" t="str"/>
      <x:c r="P47" s="2828" t="str"/>
      <x:c r="Q47" s="2828" t="str"/>
      <x:c r="R47" s="2826" t="str"/>
      <x:c r="S47" s="2826" t="str"/>
      <x:c r="T47" s="2826" t="str"/>
      <x:c r="U47" s="2828" t="str"/>
      <x:c r="V47" s="2964" t="n"/>
      <x:c r="W47" s="2826" t="n"/>
      <x:c r="X47" s="2826" t="n"/>
      <x:c r="Y47" s="2954" t="n"/>
      <x:c r="Z47" s="2826" t="n"/>
      <x:c r="AA47" s="2822" t="n"/>
      <x:c r="AB47" s="2822" t="n"/>
      <x:c r="AC47" s="2822" t="n"/>
    </x:row>
    <x:row r="48" ht="20" customHeight="1">
      <x:c r="A48" s="2841" t="inlineStr">
        <x:is>
          <x:t xml:space="preserve">MXFP8</x:t>
        </x:is>
      </x:c>
      <x:c r="B48" s="2967" t="n">
        <x:v>2048</x:v>
      </x:c>
      <x:c r="C48" s="2967" t="n">
        <x:v>256</x:v>
      </x:c>
      <x:c r="D48" s="2967" t="n">
        <x:v>2048</x:v>
      </x:c>
      <x:c r="E48" s="2967" t="n">
        <x:v>128</x:v>
      </x:c>
      <x:c r="F48" s="2967" t="n">
        <x:v>64</x:v>
      </x:c>
      <x:c r="G48" s="2967" t="n">
        <x:v>256</x:v>
      </x:c>
      <x:c r="H48" s="2968" t="n">
        <x:v>36</x:v>
      </x:c>
      <x:c r="I48" s="2968" t="n">
        <x:v>18</x:v>
      </x:c>
      <x:c r="J48" s="2968" t="n">
        <x:v>54</x:v>
      </x:c>
      <x:c r="K48" s="2969" t="n">
        <x:v>128</x:v>
      </x:c>
      <x:c r="L48" s="2967" t="n">
        <x:v>342193</x:v>
      </x:c>
      <x:c r="M48" s="2845" t="n">
        <x:f>IF(AND(ISNUMBER(L48),L48&gt;0),ROUND(B48*C48*D48/8192/L48*100,1)/100,"")</x:f>
        <x:v>0.38299999999999995</x:v>
      </x:c>
      <x:c r="N48" s="2967" t="n">
        <x:f>IF(OR(B48="",C48="",D48="",E48="",F48="",G48=""),"",ROUNDUP(B48/MIN(E48,128),0)*(C48/F48)*(D48/G48)*((MIN(B48,MIN(E48,128))+F48)*G48*(33/32)/1024))</x:f>
        <x:v>25344</x:v>
      </x:c>
      <x:c r="O48" s="2846" t="n">
        <x:f>IF(AND(ISNUMBER(N48),ISNUMBER(K48),K48&gt;0),N48*1024/K48,"")</x:f>
        <x:v>202752</x:v>
      </x:c>
      <x:c r="P48" s="2847" t="n">
        <x:f>IF(OR(E48="",F48="",G48=""),"",((H48+I48)*1024)/(E48*F48*G48/8192))</x:f>
        <x:v>216</x:v>
      </x:c>
      <x:c r="Q48" s="2847" t="n">
        <x:f>IF(OR(E48="",F48="",G48=""),"",(E48*F48*4)/(E48*F48*G48/8192))</x:f>
        <x:v>128</x:v>
      </x:c>
      <x:c r="R48" s="2845" t="n">
        <x:f>IF(AND(ISNUMBER(K48),K48&gt;0,ISNUMBER(P48),P48&gt;0),MIN(1,K48/P48),"")</x:f>
        <x:v>0.5925925925925926</x:v>
      </x:c>
      <x:c r="S48" s="2845" t="n">
        <x:f>IF(AND(ISNUMBER(K48),K48&gt;0,ISNUMBER(Q48),Q48&gt;0),MIN(1,K48/Q48),"")</x:f>
        <x:v>1</x:v>
      </x:c>
      <x:c r="T48" s="2845" t="n">
        <x:f>IF(AND(ISNUMBER(R48),ISNUMBER(S48)),MIN(R48,S48),"")</x:f>
        <x:v>0.5925925925925926</x:v>
      </x:c>
      <x:c r="U48" s="2847" t="n">
        <x:f>IF(AND(ISNUMBER(M48),ISNUMBER(T48)),(M48-T48)*100,"")</x:f>
        <x:v>-20.959259259259262</x:v>
      </x:c>
      <x:c r="V48" s="2967" t="n"/>
      <x:c r="W48" s="2845" t="n"/>
      <x:c r="X48" s="2845" t="n"/>
      <x:c r="Y48" s="2955" t="n"/>
      <x:c r="Z48" s="2845" t="n"/>
      <x:c r="AA48" s="2940" t="n"/>
      <x:c r="AB48" s="2931" t="inlineStr">
        <x:is>
          <x:t xml:space="preserve">PASS</x:t>
        </x:is>
      </x:c>
      <x:c r="AC48" s="2855" t="inlineStr">
        <x:is>
          <x:t xml:space="preserve">matmul_shared_lowp（MXFP8）；本轮 model-main ae058a98 + 6参数(无SoC带宽/延迟) 2026-09-26</x:t>
        </x:is>
      </x:c>
    </x:row>
    <x:row r="49" ht="20" customHeight="1">
      <x:c r="A49" s="2841" t="inlineStr">
        <x:is>
          <x:t xml:space="preserve">MXFP8</x:t>
        </x:is>
      </x:c>
      <x:c r="B49" s="2967" t="n">
        <x:v>2048</x:v>
      </x:c>
      <x:c r="C49" s="2967" t="n">
        <x:v>256</x:v>
      </x:c>
      <x:c r="D49" s="2967" t="n">
        <x:v>2048</x:v>
      </x:c>
      <x:c r="E49" s="2967" t="n">
        <x:v>128</x:v>
      </x:c>
      <x:c r="F49" s="2967" t="n">
        <x:v>64</x:v>
      </x:c>
      <x:c r="G49" s="2967" t="n">
        <x:v>512</x:v>
      </x:c>
      <x:c r="H49" s="2968" t="n">
        <x:v>68</x:v>
      </x:c>
      <x:c r="I49" s="2968" t="n">
        <x:v>34</x:v>
      </x:c>
      <x:c r="J49" s="2968" t="n">
        <x:v>102</x:v>
      </x:c>
      <x:c r="K49" s="2969" t="n">
        <x:v>128</x:v>
      </x:c>
      <x:c r="L49" s="2967" t="n">
        <x:v>352895</x:v>
      </x:c>
      <x:c r="M49" s="2845" t="n">
        <x:f>IF(AND(ISNUMBER(L49),L49&gt;0),ROUND(B49*C49*D49/8192/L49*100,1)/100,"")</x:f>
        <x:v>0.371</x:v>
      </x:c>
      <x:c r="N49" s="2967" t="n">
        <x:f>IF(OR(B49="",C49="",D49="",E49="",F49="",G49=""),"",ROUNDUP(B49/MIN(E49,128),0)*(C49/F49)*(D49/G49)*((MIN(B49,MIN(E49,128))+F49)*G49*(33/32)/1024))</x:f>
        <x:v>25344</x:v>
      </x:c>
      <x:c r="O49" s="2846" t="n">
        <x:f>IF(AND(ISNUMBER(N49),ISNUMBER(K49),K49&gt;0),N49*1024/K49,"")</x:f>
        <x:v>202752</x:v>
      </x:c>
      <x:c r="P49" s="2847" t="n">
        <x:f>IF(OR(E49="",F49="",G49=""),"",((H49+I49)*1024)/(E49*F49*G49/8192))</x:f>
        <x:v>204</x:v>
      </x:c>
      <x:c r="Q49" s="2847" t="n">
        <x:f>IF(OR(E49="",F49="",G49=""),"",(E49*F49*4)/(E49*F49*G49/8192))</x:f>
        <x:v>64</x:v>
      </x:c>
      <x:c r="R49" s="2845" t="n">
        <x:f>IF(AND(ISNUMBER(K49),K49&gt;0,ISNUMBER(P49),P49&gt;0),MIN(1,K49/P49),"")</x:f>
        <x:v>0.6274509803921569</x:v>
      </x:c>
      <x:c r="S49" s="2845" t="n">
        <x:f>IF(AND(ISNUMBER(K49),K49&gt;0,ISNUMBER(Q49),Q49&gt;0),MIN(1,K49/Q49),"")</x:f>
        <x:v>1</x:v>
      </x:c>
      <x:c r="T49" s="2845" t="n">
        <x:f>IF(AND(ISNUMBER(R49),ISNUMBER(S49)),MIN(R49,S49),"")</x:f>
        <x:v>0.6274509803921569</x:v>
      </x:c>
      <x:c r="U49" s="2847" t="n">
        <x:f>IF(AND(ISNUMBER(M49),ISNUMBER(T49)),(M49-T49)*100,"")</x:f>
        <x:v>-25.645098039215686</x:v>
      </x:c>
      <x:c r="V49" s="2967" t="n"/>
      <x:c r="W49" s="2845" t="n"/>
      <x:c r="X49" s="2845" t="n"/>
      <x:c r="Y49" s="2955" t="n"/>
      <x:c r="Z49" s="2845" t="n"/>
      <x:c r="AA49" s="2940" t="n"/>
      <x:c r="AB49" s="2931" t="inlineStr">
        <x:is>
          <x:t xml:space="preserve">PASS</x:t>
        </x:is>
      </x:c>
      <x:c r="AC49" s="2855" t="inlineStr">
        <x:is>
          <x:t xml:space="preserve">matmul_shared_lowp（MXFP8）；本轮 model-main ae058a98 + 6参数(无SoC带宽/延迟) 2026-09-26</x:t>
        </x:is>
      </x:c>
    </x:row>
    <x:row r="50" ht="20" customHeight="1">
      <x:c r="A50" s="2841" t="inlineStr">
        <x:is>
          <x:t xml:space="preserve">MXFP8</x:t>
        </x:is>
      </x:c>
      <x:c r="B50" s="2967" t="n">
        <x:v>2048</x:v>
      </x:c>
      <x:c r="C50" s="2967" t="n">
        <x:v>256</x:v>
      </x:c>
      <x:c r="D50" s="2967" t="n">
        <x:v>2048</x:v>
      </x:c>
      <x:c r="E50" s="2967" t="n">
        <x:v>128</x:v>
      </x:c>
      <x:c r="F50" s="2967" t="n">
        <x:v>64</x:v>
      </x:c>
      <x:c r="G50" s="2967" t="n">
        <x:v>1024</x:v>
      </x:c>
      <x:c r="H50" s="2968" t="n">
        <x:v>132</x:v>
      </x:c>
      <x:c r="I50" s="2968" t="n">
        <x:v>66</x:v>
      </x:c>
      <x:c r="J50" s="2968" t="n">
        <x:v>198</x:v>
      </x:c>
      <x:c r="K50" s="2969" t="n">
        <x:v>128</x:v>
      </x:c>
      <x:c r="L50" s="2967" t="n">
        <x:v>670274</x:v>
      </x:c>
      <x:c r="M50" s="2845" t="n">
        <x:f>IF(AND(ISNUMBER(L50),L50&gt;0),ROUND(B50*C50*D50/8192/L50*100,1)/100,"")</x:f>
        <x:v>0.196</x:v>
      </x:c>
      <x:c r="N50" s="2967" t="n">
        <x:f>IF(OR(B50="",C50="",D50="",E50="",F50="",G50=""),"",ROUNDUP(B50/MIN(E50,128),0)*(C50/F50)*(D50/G50)*((MIN(B50,MIN(E50,128))+F50)*G50*(33/32)/1024))</x:f>
        <x:v>25344</x:v>
      </x:c>
      <x:c r="O50" s="2846" t="n">
        <x:f>IF(AND(ISNUMBER(N50),ISNUMBER(K50),K50&gt;0),N50*1024/K50,"")</x:f>
        <x:v>202752</x:v>
      </x:c>
      <x:c r="P50" s="2847" t="n">
        <x:f>IF(OR(E50="",F50="",G50=""),"",((H50+I50)*1024)/(E50*F50*G50/8192))</x:f>
        <x:v>198</x:v>
      </x:c>
      <x:c r="Q50" s="2847" t="n">
        <x:f>IF(OR(E50="",F50="",G50=""),"",(E50*F50*4)/(E50*F50*G50/8192))</x:f>
        <x:v>32</x:v>
      </x:c>
      <x:c r="R50" s="2845" t="n">
        <x:f>IF(AND(ISNUMBER(K50),K50&gt;0,ISNUMBER(P50),P50&gt;0),MIN(1,K50/P50),"")</x:f>
        <x:v>0.6464646464646465</x:v>
      </x:c>
      <x:c r="S50" s="2845" t="n">
        <x:f>IF(AND(ISNUMBER(K50),K50&gt;0,ISNUMBER(Q50),Q50&gt;0),MIN(1,K50/Q50),"")</x:f>
        <x:v>1</x:v>
      </x:c>
      <x:c r="T50" s="2845" t="n">
        <x:f>IF(AND(ISNUMBER(R50),ISNUMBER(S50)),MIN(R50,S50),"")</x:f>
        <x:v>0.6464646464646465</x:v>
      </x:c>
      <x:c r="U50" s="2847" t="n">
        <x:f>IF(AND(ISNUMBER(M50),ISNUMBER(T50)),(M50-T50)*100,"")</x:f>
        <x:v>-45.04646464646465</x:v>
      </x:c>
      <x:c r="V50" s="2967" t="n"/>
      <x:c r="W50" s="2845" t="n"/>
      <x:c r="X50" s="2845" t="n"/>
      <x:c r="Y50" s="2955" t="n"/>
      <x:c r="Z50" s="2845" t="n"/>
      <x:c r="AA50" s="2940" t="n"/>
      <x:c r="AB50" s="2931" t="inlineStr">
        <x:is>
          <x:t xml:space="preserve">PASS</x:t>
        </x:is>
      </x:c>
      <x:c r="AC50" s="2855" t="inlineStr">
        <x:is>
          <x:t xml:space="preserve">matmul_shared_lowp（MXFP8）；本轮 model-main ae058a98 + 6参数(无SoC带宽/延迟) 2026-09-26</x:t>
        </x:is>
      </x:c>
    </x:row>
    <x:row r="51" ht="20" customHeight="1">
      <x:c r="A51" s="2841" t="inlineStr">
        <x:is>
          <x:t xml:space="preserve">MXFP8</x:t>
        </x:is>
      </x:c>
      <x:c r="B51" s="2967" t="n">
        <x:v>2048</x:v>
      </x:c>
      <x:c r="C51" s="2967" t="n">
        <x:v>256</x:v>
      </x:c>
      <x:c r="D51" s="2967" t="n">
        <x:v>2048</x:v>
      </x:c>
      <x:c r="E51" s="2967" t="n">
        <x:v>128</x:v>
      </x:c>
      <x:c r="F51" s="2967" t="n">
        <x:v>128</x:v>
      </x:c>
      <x:c r="G51" s="2967" t="n">
        <x:v>256</x:v>
      </x:c>
      <x:c r="H51" s="2968" t="n">
        <x:v>36</x:v>
      </x:c>
      <x:c r="I51" s="2968" t="n">
        <x:v>36</x:v>
      </x:c>
      <x:c r="J51" s="2968" t="n">
        <x:v>72</x:v>
      </x:c>
      <x:c r="K51" s="2969" t="n">
        <x:v>128</x:v>
      </x:c>
      <x:c r="L51" s="2967" t="n">
        <x:v>233376</x:v>
      </x:c>
      <x:c r="M51" s="2845" t="n">
        <x:f>IF(AND(ISNUMBER(L51),L51&gt;0),ROUND(B51*C51*D51/8192/L51*100,1)/100,"")</x:f>
        <x:v>0.562</x:v>
      </x:c>
      <x:c r="N51" s="2967" t="n">
        <x:f>IF(OR(B51="",C51="",D51="",E51="",F51="",G51=""),"",ROUNDUP(B51/MIN(E51,128),0)*(C51/F51)*(D51/G51)*((MIN(B51,MIN(E51,128))+F51)*G51*(33/32)/1024))</x:f>
        <x:v>16896</x:v>
      </x:c>
      <x:c r="O51" s="2846" t="n">
        <x:f>IF(AND(ISNUMBER(N51),ISNUMBER(K51),K51&gt;0),N51*1024/K51,"")</x:f>
        <x:v>135168</x:v>
      </x:c>
      <x:c r="P51" s="2847" t="n">
        <x:f>IF(OR(E51="",F51="",G51=""),"",((H51+I51)*1024)/(E51*F51*G51/8192))</x:f>
        <x:v>144</x:v>
      </x:c>
      <x:c r="Q51" s="2847" t="n">
        <x:f>IF(OR(E51="",F51="",G51=""),"",(E51*F51*4)/(E51*F51*G51/8192))</x:f>
        <x:v>128</x:v>
      </x:c>
      <x:c r="R51" s="2845" t="n">
        <x:f>IF(AND(ISNUMBER(K51),K51&gt;0,ISNUMBER(P51),P51&gt;0),MIN(1,K51/P51),"")</x:f>
        <x:v>0.8888888888888888</x:v>
      </x:c>
      <x:c r="S51" s="2845" t="n">
        <x:f>IF(AND(ISNUMBER(K51),K51&gt;0,ISNUMBER(Q51),Q51&gt;0),MIN(1,K51/Q51),"")</x:f>
        <x:v>1</x:v>
      </x:c>
      <x:c r="T51" s="2845" t="n">
        <x:f>IF(AND(ISNUMBER(R51),ISNUMBER(S51)),MIN(R51,S51),"")</x:f>
        <x:v>0.8888888888888888</x:v>
      </x:c>
      <x:c r="U51" s="2847" t="n">
        <x:f>IF(AND(ISNUMBER(M51),ISNUMBER(T51)),(M51-T51)*100,"")</x:f>
        <x:v>-32.688888888888876</x:v>
      </x:c>
      <x:c r="V51" s="2967" t="n"/>
      <x:c r="W51" s="2845" t="n"/>
      <x:c r="X51" s="2845" t="n"/>
      <x:c r="Y51" s="2955" t="n"/>
      <x:c r="Z51" s="2845" t="n"/>
      <x:c r="AA51" s="2940" t="n"/>
      <x:c r="AB51" s="2931" t="inlineStr">
        <x:is>
          <x:t xml:space="preserve">PASS</x:t>
        </x:is>
      </x:c>
      <x:c r="AC51" s="2855" t="inlineStr">
        <x:is>
          <x:t xml:space="preserve">matmul_shared_lowp（MXFP8）；本轮 model-main ae058a98 + 6参数(无SoC带宽/延迟) 2026-09-26</x:t>
        </x:is>
      </x:c>
    </x:row>
    <x:row r="52" ht="20" customHeight="1">
      <x:c r="A52" s="2841" t="inlineStr">
        <x:is>
          <x:t xml:space="preserve">MXFP8</x:t>
        </x:is>
      </x:c>
      <x:c r="B52" s="2967" t="n">
        <x:v>2048</x:v>
      </x:c>
      <x:c r="C52" s="2967" t="n">
        <x:v>256</x:v>
      </x:c>
      <x:c r="D52" s="2967" t="n">
        <x:v>2048</x:v>
      </x:c>
      <x:c r="E52" s="2967" t="n">
        <x:v>128</x:v>
      </x:c>
      <x:c r="F52" s="2967" t="n">
        <x:v>128</x:v>
      </x:c>
      <x:c r="G52" s="2967" t="n">
        <x:v>512</x:v>
      </x:c>
      <x:c r="H52" s="2968" t="n">
        <x:v>68</x:v>
      </x:c>
      <x:c r="I52" s="2968" t="n">
        <x:v>68</x:v>
      </x:c>
      <x:c r="J52" s="2968" t="n">
        <x:v>136</x:v>
      </x:c>
      <x:c r="K52" s="2969" t="n">
        <x:v>128</x:v>
      </x:c>
      <x:c r="L52" s="2967" t="n">
        <x:v>358280</x:v>
      </x:c>
      <x:c r="M52" s="2845" t="n">
        <x:f>IF(AND(ISNUMBER(L52),L52&gt;0),ROUND(B52*C52*D52/8192/L52*100,1)/100,"")</x:f>
        <x:v>0.366</x:v>
      </x:c>
      <x:c r="N52" s="2967" t="n">
        <x:f>IF(OR(B52="",C52="",D52="",E52="",F52="",G52=""),"",ROUNDUP(B52/MIN(E52,128),0)*(C52/F52)*(D52/G52)*((MIN(B52,MIN(E52,128))+F52)*G52*(33/32)/1024))</x:f>
        <x:v>16896</x:v>
      </x:c>
      <x:c r="O52" s="2846" t="n">
        <x:f>IF(AND(ISNUMBER(N52),ISNUMBER(K52),K52&gt;0),N52*1024/K52,"")</x:f>
        <x:v>135168</x:v>
      </x:c>
      <x:c r="P52" s="2847" t="n">
        <x:f>IF(OR(E52="",F52="",G52=""),"",((H52+I52)*1024)/(E52*F52*G52/8192))</x:f>
        <x:v>136</x:v>
      </x:c>
      <x:c r="Q52" s="2847" t="n">
        <x:f>IF(OR(E52="",F52="",G52=""),"",(E52*F52*4)/(E52*F52*G52/8192))</x:f>
        <x:v>64</x:v>
      </x:c>
      <x:c r="R52" s="2845" t="n">
        <x:f>IF(AND(ISNUMBER(K52),K52&gt;0,ISNUMBER(P52),P52&gt;0),MIN(1,K52/P52),"")</x:f>
        <x:v>0.9411764705882353</x:v>
      </x:c>
      <x:c r="S52" s="2845" t="n">
        <x:f>IF(AND(ISNUMBER(K52),K52&gt;0,ISNUMBER(Q52),Q52&gt;0),MIN(1,K52/Q52),"")</x:f>
        <x:v>1</x:v>
      </x:c>
      <x:c r="T52" s="2845" t="n">
        <x:f>IF(AND(ISNUMBER(R52),ISNUMBER(S52)),MIN(R52,S52),"")</x:f>
        <x:v>0.9411764705882353</x:v>
      </x:c>
      <x:c r="U52" s="2847" t="n">
        <x:f>IF(AND(ISNUMBER(M52),ISNUMBER(T52)),(M52-T52)*100,"")</x:f>
        <x:v>-57.51764705882353</x:v>
      </x:c>
      <x:c r="V52" s="2967" t="n"/>
      <x:c r="W52" s="2845" t="n"/>
      <x:c r="X52" s="2845" t="n"/>
      <x:c r="Y52" s="2955" t="n"/>
      <x:c r="Z52" s="2845" t="n"/>
      <x:c r="AA52" s="2940" t="n"/>
      <x:c r="AB52" s="2931" t="inlineStr">
        <x:is>
          <x:t xml:space="preserve">PASS</x:t>
        </x:is>
      </x:c>
      <x:c r="AC52" s="2855" t="inlineStr">
        <x:is>
          <x:t xml:space="preserve">matmul_shared_lowp（MXFP8）；本轮 model-main ae058a98 + 6参数(无SoC带宽/延迟) 2026-09-26</x:t>
        </x:is>
      </x:c>
    </x:row>
    <x:row r="53" ht="20" customHeight="1">
      <x:c r="A53" s="2841" t="inlineStr">
        <x:is>
          <x:t xml:space="preserve">MXFP8</x:t>
        </x:is>
      </x:c>
      <x:c r="B53" s="2967" t="n">
        <x:v>2048</x:v>
      </x:c>
      <x:c r="C53" s="2967" t="n">
        <x:v>256</x:v>
      </x:c>
      <x:c r="D53" s="2967" t="n">
        <x:v>2048</x:v>
      </x:c>
      <x:c r="E53" s="2967" t="n">
        <x:v>128</x:v>
      </x:c>
      <x:c r="F53" s="2967" t="n">
        <x:v>128</x:v>
      </x:c>
      <x:c r="G53" s="2967" t="n">
        <x:v>1024</x:v>
      </x:c>
      <x:c r="H53" s="2968" t="n">
        <x:v>132</x:v>
      </x:c>
      <x:c r="I53" s="2968" t="n">
        <x:v>132</x:v>
      </x:c>
      <x:c r="J53" s="2968" t="n">
        <x:v>264</x:v>
      </x:c>
      <x:c r="K53" s="2969" t="n">
        <x:v>128</x:v>
      </x:c>
      <x:c r="L53" s="2967" t="inlineStr">
        <x:is>
          <x:t xml:space="preserve">—</x:t>
        </x:is>
      </x:c>
      <x:c r="M53" s="2845" t="str">
        <x:f>IF(AND(ISNUMBER(L53),L53&gt;0),ROUND(B53*C53*D53/8192/L53*100,1)/100,"")</x:f>
      </x:c>
      <x:c r="N53" s="2967" t="n">
        <x:f>IF(OR(B53="",C53="",D53="",E53="",F53="",G53=""),"",ROUNDUP(B53/MIN(E53,128),0)*(C53/F53)*(D53/G53)*((MIN(B53,MIN(E53,128))+F53)*G53*(33/32)/1024))</x:f>
        <x:v>16896</x:v>
      </x:c>
      <x:c r="O53" s="2846" t="n">
        <x:f>IF(AND(ISNUMBER(N53),ISNUMBER(K53),K53&gt;0),N53*1024/K53,"")</x:f>
        <x:v>135168</x:v>
      </x:c>
      <x:c r="P53" s="2847" t="n">
        <x:f>IF(OR(E53="",F53="",G53=""),"",((H53+I53)*1024)/(E53*F53*G53/8192))</x:f>
        <x:v>132</x:v>
      </x:c>
      <x:c r="Q53" s="2847" t="n">
        <x:f>IF(OR(E53="",F53="",G53=""),"",(E53*F53*4)/(E53*F53*G53/8192))</x:f>
        <x:v>32</x:v>
      </x:c>
      <x:c r="R53" s="2845" t="n">
        <x:f>IF(AND(ISNUMBER(K53),K53&gt;0,ISNUMBER(P53),P53&gt;0),MIN(1,K53/P53),"")</x:f>
        <x:v>0.9696969696969697</x:v>
      </x:c>
      <x:c r="S53" s="2845" t="n">
        <x:f>IF(AND(ISNUMBER(K53),K53&gt;0,ISNUMBER(Q53),Q53&gt;0),MIN(1,K53/Q53),"")</x:f>
        <x:v>1</x:v>
      </x:c>
      <x:c r="T53" s="2845" t="n">
        <x:f>IF(AND(ISNUMBER(R53),ISNUMBER(S53)),MIN(R53,S53),"")</x:f>
        <x:v>0.9696969696969697</x:v>
      </x:c>
      <x:c r="U53" s="2847" t="str">
        <x:f>IF(AND(ISNUMBER(M53),ISNUMBER(T53)),(M53-T53)*100,"")</x:f>
      </x:c>
      <x:c r="V53" s="2967" t="n"/>
      <x:c r="W53" s="2845" t="n"/>
      <x:c r="X53" s="2845" t="n"/>
      <x:c r="Y53" s="2955" t="n"/>
      <x:c r="Z53" s="2845" t="n"/>
      <x:c r="AA53" s="2940" t="n"/>
      <x:c r="AB53" s="2932" t="inlineStr">
        <x:is>
          <x:t xml:space="preserve">COMPILE_FAIL</x:t>
        </x:is>
      </x:c>
      <x:c r="AC53" s="2855" t="inlineStr">
        <x:is>
          <x:t xml:space="preserve">容量超限：完整 SharedTile 足迹 &gt; 256 KiB；本轮 model-main 9b3a4405 + 8参数(256KB ShareTReg) 2026-09-22</x:t>
        </x:is>
      </x:c>
    </x:row>
    <x:row r="54" ht="20" customHeight="1">
      <x:c r="A54" s="2841" t="inlineStr">
        <x:is>
          <x:t xml:space="preserve">MXFP8</x:t>
        </x:is>
      </x:c>
      <x:c r="B54" s="2967" t="n">
        <x:v>2048</x:v>
      </x:c>
      <x:c r="C54" s="2967" t="n">
        <x:v>256</x:v>
      </x:c>
      <x:c r="D54" s="2967" t="n">
        <x:v>2048</x:v>
      </x:c>
      <x:c r="E54" s="2967" t="n">
        <x:v>128</x:v>
      </x:c>
      <x:c r="F54" s="2967" t="n">
        <x:v>256</x:v>
      </x:c>
      <x:c r="G54" s="2967" t="n">
        <x:v>256</x:v>
      </x:c>
      <x:c r="H54" s="2968" t="n">
        <x:v>36</x:v>
      </x:c>
      <x:c r="I54" s="2968" t="n">
        <x:v>72</x:v>
      </x:c>
      <x:c r="J54" s="2968" t="n">
        <x:v>108</x:v>
      </x:c>
      <x:c r="K54" s="2969" t="n">
        <x:v>128</x:v>
      </x:c>
      <x:c r="L54" s="2967" t="n">
        <x:v>223452</x:v>
      </x:c>
      <x:c r="M54" s="2845" t="n">
        <x:f>IF(AND(ISNUMBER(L54),L54&gt;0),ROUND(B54*C54*D54/8192/L54*100,1)/100,"")</x:f>
        <x:v>0.5870000000000001</x:v>
      </x:c>
      <x:c r="N54" s="2967" t="n">
        <x:f>IF(OR(B54="",C54="",D54="",E54="",F54="",G54=""),"",ROUNDUP(B54/MIN(E54,128),0)*(C54/F54)*(D54/G54)*((MIN(B54,MIN(E54,128))+F54)*G54*(33/32)/1024))</x:f>
        <x:v>12672</x:v>
      </x:c>
      <x:c r="O54" s="2846" t="n">
        <x:f>IF(AND(ISNUMBER(N54),ISNUMBER(K54),K54&gt;0),N54*1024/K54,"")</x:f>
        <x:v>101376</x:v>
      </x:c>
      <x:c r="P54" s="2847" t="n">
        <x:f>IF(OR(E54="",F54="",G54=""),"",((H54+I54)*1024)/(E54*F54*G54/8192))</x:f>
        <x:v>108</x:v>
      </x:c>
      <x:c r="Q54" s="2847" t="n">
        <x:f>IF(OR(E54="",F54="",G54=""),"",(E54*F54*4)/(E54*F54*G54/8192))</x:f>
        <x:v>128</x:v>
      </x:c>
      <x:c r="R54" s="2845" t="n">
        <x:f>IF(AND(ISNUMBER(K54),K54&gt;0,ISNUMBER(P54),P54&gt;0),MIN(1,K54/P54),"")</x:f>
        <x:v>1</x:v>
      </x:c>
      <x:c r="S54" s="2845" t="n">
        <x:f>IF(AND(ISNUMBER(K54),K54&gt;0,ISNUMBER(Q54),Q54&gt;0),MIN(1,K54/Q54),"")</x:f>
        <x:v>1</x:v>
      </x:c>
      <x:c r="T54" s="2845" t="n">
        <x:f>IF(AND(ISNUMBER(R54),ISNUMBER(S54)),MIN(R54,S54),"")</x:f>
        <x:v>1</x:v>
      </x:c>
      <x:c r="U54" s="2847" t="n">
        <x:f>IF(AND(ISNUMBER(M54),ISNUMBER(T54)),(M54-T54)*100,"")</x:f>
        <x:v>-41.29999999999999</x:v>
      </x:c>
      <x:c r="V54" s="2967" t="n"/>
      <x:c r="W54" s="2845" t="n"/>
      <x:c r="X54" s="2845" t="n"/>
      <x:c r="Y54" s="2955" t="n"/>
      <x:c r="Z54" s="2845" t="n"/>
      <x:c r="AA54" s="2940" t="n"/>
      <x:c r="AB54" s="2931" t="inlineStr">
        <x:is>
          <x:t xml:space="preserve">PASS</x:t>
        </x:is>
      </x:c>
      <x:c r="AC54" s="2855" t="inlineStr">
        <x:is>
          <x:t xml:space="preserve">matmul_shared_lowp（MXFP8）；本轮 model-main ae058a98 + 6参数(无SoC带宽/延迟) 2026-09-26</x:t>
        </x:is>
      </x:c>
    </x:row>
    <x:row r="55" ht="20" customHeight="1">
      <x:c r="A55" s="2841" t="inlineStr">
        <x:is>
          <x:t xml:space="preserve">MXFP8</x:t>
        </x:is>
      </x:c>
      <x:c r="B55" s="2967" t="n">
        <x:v>2048</x:v>
      </x:c>
      <x:c r="C55" s="2967" t="n">
        <x:v>256</x:v>
      </x:c>
      <x:c r="D55" s="2967" t="n">
        <x:v>2048</x:v>
      </x:c>
      <x:c r="E55" s="2967" t="n">
        <x:v>128</x:v>
      </x:c>
      <x:c r="F55" s="2967" t="n">
        <x:v>256</x:v>
      </x:c>
      <x:c r="G55" s="2967" t="n">
        <x:v>512</x:v>
      </x:c>
      <x:c r="H55" s="2968" t="n">
        <x:v>68</x:v>
      </x:c>
      <x:c r="I55" s="2968" t="n">
        <x:v>136</x:v>
      </x:c>
      <x:c r="J55" s="2968" t="n">
        <x:v>204</x:v>
      </x:c>
      <x:c r="K55" s="2969" t="n">
        <x:v>128</x:v>
      </x:c>
      <x:c r="L55" s="2967" t="n">
        <x:v>407923</x:v>
      </x:c>
      <x:c r="M55" s="2845" t="n">
        <x:f>IF(AND(ISNUMBER(L55),L55&gt;0),ROUND(B55*C55*D55/8192/L55*100,1)/100,"")</x:f>
        <x:v>0.321</x:v>
      </x:c>
      <x:c r="N55" s="2967" t="n">
        <x:f>IF(OR(B55="",C55="",D55="",E55="",F55="",G55=""),"",ROUNDUP(B55/MIN(E55,128),0)*(C55/F55)*(D55/G55)*((MIN(B55,MIN(E55,128))+F55)*G55*(33/32)/1024))</x:f>
        <x:v>12672</x:v>
      </x:c>
      <x:c r="O55" s="2846" t="n">
        <x:f>IF(AND(ISNUMBER(N55),ISNUMBER(K55),K55&gt;0),N55*1024/K55,"")</x:f>
        <x:v>101376</x:v>
      </x:c>
      <x:c r="P55" s="2847" t="n">
        <x:f>IF(OR(E55="",F55="",G55=""),"",((H55+I55)*1024)/(E55*F55*G55/8192))</x:f>
        <x:v>102</x:v>
      </x:c>
      <x:c r="Q55" s="2847" t="n">
        <x:f>IF(OR(E55="",F55="",G55=""),"",(E55*F55*4)/(E55*F55*G55/8192))</x:f>
        <x:v>64</x:v>
      </x:c>
      <x:c r="R55" s="2845" t="n">
        <x:f>IF(AND(ISNUMBER(K55),K55&gt;0,ISNUMBER(P55),P55&gt;0),MIN(1,K55/P55),"")</x:f>
        <x:v>1</x:v>
      </x:c>
      <x:c r="S55" s="2845" t="n">
        <x:f>IF(AND(ISNUMBER(K55),K55&gt;0,ISNUMBER(Q55),Q55&gt;0),MIN(1,K55/Q55),"")</x:f>
        <x:v>1</x:v>
      </x:c>
      <x:c r="T55" s="2845" t="n">
        <x:f>IF(AND(ISNUMBER(R55),ISNUMBER(S55)),MIN(R55,S55),"")</x:f>
        <x:v>1</x:v>
      </x:c>
      <x:c r="U55" s="2847" t="n">
        <x:f>IF(AND(ISNUMBER(M55),ISNUMBER(T55)),(M55-T55)*100,"")</x:f>
        <x:v>-67.9</x:v>
      </x:c>
      <x:c r="V55" s="2967" t="n"/>
      <x:c r="W55" s="2845" t="n"/>
      <x:c r="X55" s="2845" t="n"/>
      <x:c r="Y55" s="2955" t="n"/>
      <x:c r="Z55" s="2845" t="n"/>
      <x:c r="AA55" s="2940" t="n"/>
      <x:c r="AB55" s="2931" t="inlineStr">
        <x:is>
          <x:t xml:space="preserve">PASS</x:t>
        </x:is>
      </x:c>
      <x:c r="AC55" s="2855" t="inlineStr">
        <x:is>
          <x:t xml:space="preserve">matmul_shared_lowp（MXFP8）；本轮 model-main ae058a98 + 6参数(无SoC带宽/延迟) 2026-09-26</x:t>
        </x:is>
      </x:c>
    </x:row>
    <x:row r="56" ht="20" customHeight="1">
      <x:c r="A56" s="2841" t="inlineStr">
        <x:is>
          <x:t xml:space="preserve">MXFP8</x:t>
        </x:is>
      </x:c>
      <x:c r="B56" s="2967" t="n">
        <x:v>2048</x:v>
      </x:c>
      <x:c r="C56" s="2967" t="n">
        <x:v>256</x:v>
      </x:c>
      <x:c r="D56" s="2967" t="n">
        <x:v>2048</x:v>
      </x:c>
      <x:c r="E56" s="2967" t="n">
        <x:v>128</x:v>
      </x:c>
      <x:c r="F56" s="2967" t="n">
        <x:v>256</x:v>
      </x:c>
      <x:c r="G56" s="2967" t="n">
        <x:v>1024</x:v>
      </x:c>
      <x:c r="H56" s="2968" t="n">
        <x:v>132</x:v>
      </x:c>
      <x:c r="I56" s="2968" t="n">
        <x:v>264</x:v>
      </x:c>
      <x:c r="J56" s="2968" t="n">
        <x:v>396</x:v>
      </x:c>
      <x:c r="K56" s="2969" t="n">
        <x:v>128</x:v>
      </x:c>
      <x:c r="L56" s="2967" t="inlineStr">
        <x:is>
          <x:t xml:space="preserve">—</x:t>
        </x:is>
      </x:c>
      <x:c r="M56" s="2845" t="str">
        <x:f>IF(AND(ISNUMBER(L56),L56&gt;0),ROUND(B56*C56*D56/8192/L56*100,1)/100,"")</x:f>
      </x:c>
      <x:c r="N56" s="2967" t="n">
        <x:f>IF(OR(B56="",C56="",D56="",E56="",F56="",G56=""),"",ROUNDUP(B56/MIN(E56,128),0)*(C56/F56)*(D56/G56)*((MIN(B56,MIN(E56,128))+F56)*G56*(33/32)/1024))</x:f>
        <x:v>12672</x:v>
      </x:c>
      <x:c r="O56" s="2846" t="n">
        <x:f>IF(AND(ISNUMBER(N56),ISNUMBER(K56),K56&gt;0),N56*1024/K56,"")</x:f>
        <x:v>101376</x:v>
      </x:c>
      <x:c r="P56" s="2847" t="n">
        <x:f>IF(OR(E56="",F56="",G56=""),"",((H56+I56)*1024)/(E56*F56*G56/8192))</x:f>
        <x:v>99</x:v>
      </x:c>
      <x:c r="Q56" s="2847" t="n">
        <x:f>IF(OR(E56="",F56="",G56=""),"",(E56*F56*4)/(E56*F56*G56/8192))</x:f>
        <x:v>32</x:v>
      </x:c>
      <x:c r="R56" s="2845" t="n">
        <x:f>IF(AND(ISNUMBER(K56),K56&gt;0,ISNUMBER(P56),P56&gt;0),MIN(1,K56/P56),"")</x:f>
        <x:v>1</x:v>
      </x:c>
      <x:c r="S56" s="2845" t="n">
        <x:f>IF(AND(ISNUMBER(K56),K56&gt;0,ISNUMBER(Q56),Q56&gt;0),MIN(1,K56/Q56),"")</x:f>
        <x:v>1</x:v>
      </x:c>
      <x:c r="T56" s="2845" t="n">
        <x:f>IF(AND(ISNUMBER(R56),ISNUMBER(S56)),MIN(R56,S56),"")</x:f>
        <x:v>1</x:v>
      </x:c>
      <x:c r="U56" s="2847" t="str">
        <x:f>IF(AND(ISNUMBER(M56),ISNUMBER(T56)),(M56-T56)*100,"")</x:f>
      </x:c>
      <x:c r="V56" s="2967" t="n"/>
      <x:c r="W56" s="2845" t="n"/>
      <x:c r="X56" s="2845" t="n"/>
      <x:c r="Y56" s="2955" t="n"/>
      <x:c r="Z56" s="2845" t="n"/>
      <x:c r="AA56" s="2940" t="n"/>
      <x:c r="AB56" s="2932" t="inlineStr">
        <x:is>
          <x:t xml:space="preserve">COMPILE_FAIL</x:t>
        </x:is>
      </x:c>
      <x:c r="AC56" s="2855" t="inlineStr">
        <x:is>
          <x:t xml:space="preserve">容量超限：完整 SharedTile 足迹 &gt; 256 KiB；本轮 model-main 9b3a4405 + 8参数(256KB ShareTReg) 2026-09-22</x:t>
        </x:is>
      </x:c>
    </x:row>
    <x:row r="57" ht="20" customHeight="1">
      <x:c r="A57" s="2822" t="inlineStr">
        <x:is>
          <x:t xml:space="preserve">MXFP4</x:t>
        </x:is>
      </x:c>
      <x:c r="B57" s="2964" t="n"/>
      <x:c r="C57" s="2964" t="n"/>
      <x:c r="D57" s="2964" t="n"/>
      <x:c r="E57" s="2964" t="n"/>
      <x:c r="F57" s="2964" t="n"/>
      <x:c r="G57" s="2964" t="n"/>
      <x:c r="H57" s="2965" t="n"/>
      <x:c r="I57" s="2965" t="n"/>
      <x:c r="J57" s="2965" t="n"/>
      <x:c r="K57" s="2966"/>
      <x:c r="L57" s="2964" t="n"/>
      <x:c r="M57" s="2826" t="str"/>
      <x:c r="N57" s="2964" t="str"/>
      <x:c r="O57" s="2827" t="str"/>
      <x:c r="P57" s="2828" t="str"/>
      <x:c r="Q57" s="2828" t="str"/>
      <x:c r="R57" s="2826" t="str"/>
      <x:c r="S57" s="2826" t="str"/>
      <x:c r="T57" s="2826" t="str"/>
      <x:c r="U57" s="2828" t="str"/>
      <x:c r="V57" s="2964" t="n"/>
      <x:c r="W57" s="2826" t="n"/>
      <x:c r="X57" s="2826" t="n"/>
      <x:c r="Y57" s="2954" t="n"/>
      <x:c r="Z57" s="2826" t="n"/>
      <x:c r="AA57" s="2822" t="n"/>
      <x:c r="AB57" s="2822" t="n"/>
      <x:c r="AC57" s="2822" t="n"/>
    </x:row>
    <x:row r="58" ht="20" customHeight="1">
      <x:c r="A58" s="2866" t="inlineStr">
        <x:is>
          <x:t xml:space="preserve">MXFP4</x:t>
        </x:is>
      </x:c>
      <x:c r="B58" s="2973" t="n">
        <x:v>2048</x:v>
      </x:c>
      <x:c r="C58" s="2973" t="n">
        <x:v>256</x:v>
      </x:c>
      <x:c r="D58" s="2973" t="n">
        <x:v>2048</x:v>
      </x:c>
      <x:c r="E58" s="2973" t="n">
        <x:v>128</x:v>
      </x:c>
      <x:c r="F58" s="2973" t="n">
        <x:v>64</x:v>
      </x:c>
      <x:c r="G58" s="2973" t="n">
        <x:v>256</x:v>
      </x:c>
      <x:c r="H58" s="2974" t="n">
        <x:v>36</x:v>
      </x:c>
      <x:c r="I58" s="2974" t="n">
        <x:v>18</x:v>
      </x:c>
      <x:c r="J58" s="2974" t="n">
        <x:v>54</x:v>
      </x:c>
      <x:c r="K58" s="2975" t="n">
        <x:v>128</x:v>
      </x:c>
      <x:c r="L58" s="2973" t="n">
        <x:v>356091</x:v>
      </x:c>
      <x:c r="M58" s="2870" t="n">
        <x:f>IF(AND(ISNUMBER(L58),L58&gt;0),ROUND(B58*C58*D58/16384/L58*100,1)/100,"")</x:f>
        <x:v>0.184</x:v>
      </x:c>
      <x:c r="N58" s="2973" t="n">
        <x:f>IF(OR(B58="",C58="",D58="",E58="",F58="",G58=""),"",ROUNDUP(B58/MIN(E58,128),0)*(C58/F58)*(D58/G58)*((MIN(B58,MIN(E58,128))+F58)*G58*(17/32)/1024))</x:f>
        <x:v>13056</x:v>
      </x:c>
      <x:c r="O58" s="2871" t="n">
        <x:f>IF(AND(ISNUMBER(N58),ISNUMBER(K58),K58&gt;0),N58*1024/K58,"")</x:f>
        <x:v>104448</x:v>
      </x:c>
      <x:c r="P58" s="2872" t="n">
        <x:f>IF(OR(E58="",F58="",G58=""),"",((H58+I58)*1024)/(E58*F58*G58/16384))</x:f>
        <x:v>432</x:v>
      </x:c>
      <x:c r="Q58" s="2872" t="n">
        <x:f>IF(OR(E58="",F58="",G58=""),"",(E58*F58*4)/(E58*F58*G58/16384))</x:f>
        <x:v>256</x:v>
      </x:c>
      <x:c r="R58" s="2870" t="n">
        <x:f>IF(AND(ISNUMBER(K58),K58&gt;0,ISNUMBER(P58),P58&gt;0),MIN(1,K58/P58),"")</x:f>
        <x:v>0.2962962962962963</x:v>
      </x:c>
      <x:c r="S58" s="2870" t="n">
        <x:f>IF(AND(ISNUMBER(K58),K58&gt;0,ISNUMBER(Q58),Q58&gt;0),MIN(1,K58/Q58),"")</x:f>
        <x:v>0.5</x:v>
      </x:c>
      <x:c r="T58" s="2870" t="n">
        <x:f>IF(AND(ISNUMBER(R58),ISNUMBER(S58)),MIN(R58,S58),"")</x:f>
        <x:v>0.2962962962962963</x:v>
      </x:c>
      <x:c r="U58" s="2872" t="n">
        <x:f>IF(AND(ISNUMBER(M58),ISNUMBER(T58)),(M58-T58)*100,"")</x:f>
        <x:v>-11.229629629629628</x:v>
      </x:c>
      <x:c r="V58" s="2973" t="n"/>
      <x:c r="W58" s="2870" t="n"/>
      <x:c r="X58" s="2870" t="n"/>
      <x:c r="Y58" s="2957" t="n"/>
      <x:c r="Z58" s="2870" t="n"/>
      <x:c r="AA58" s="2941" t="n"/>
      <x:c r="AB58" s="2933" t="inlineStr">
        <x:is>
          <x:t xml:space="preserve">PASS</x:t>
        </x:is>
      </x:c>
      <x:c r="AC58" s="2880" t="inlineStr">
        <x:is>
          <x:t xml:space="preserve">matmul_shared_lowp（MXFP4）；本轮 model-main ae058a98 + 6参数(无SoC带宽/延迟) 2026-09-26</x:t>
        </x:is>
      </x:c>
    </x:row>
    <x:row r="59" ht="20" customHeight="1">
      <x:c r="A59" s="2866" t="inlineStr">
        <x:is>
          <x:t xml:space="preserve">MXFP4</x:t>
        </x:is>
      </x:c>
      <x:c r="B59" s="2973" t="n">
        <x:v>2048</x:v>
      </x:c>
      <x:c r="C59" s="2973" t="n">
        <x:v>256</x:v>
      </x:c>
      <x:c r="D59" s="2973" t="n">
        <x:v>2048</x:v>
      </x:c>
      <x:c r="E59" s="2973" t="n">
        <x:v>128</x:v>
      </x:c>
      <x:c r="F59" s="2973" t="n">
        <x:v>64</x:v>
      </x:c>
      <x:c r="G59" s="2973" t="n">
        <x:v>512</x:v>
      </x:c>
      <x:c r="H59" s="2974" t="n">
        <x:v>68</x:v>
      </x:c>
      <x:c r="I59" s="2974" t="n">
        <x:v>34</x:v>
      </x:c>
      <x:c r="J59" s="2974" t="n">
        <x:v>102</x:v>
      </x:c>
      <x:c r="K59" s="2975" t="n">
        <x:v>128</x:v>
      </x:c>
      <x:c r="L59" s="2973" t="n">
        <x:v>343448</x:v>
      </x:c>
      <x:c r="M59" s="2870" t="n">
        <x:f>IF(AND(ISNUMBER(L59),L59&gt;0),ROUND(B59*C59*D59/16384/L59*100,1)/100,"")</x:f>
        <x:v>0.191</x:v>
      </x:c>
      <x:c r="N59" s="2973" t="n">
        <x:f>IF(OR(B59="",C59="",D59="",E59="",F59="",G59=""),"",ROUNDUP(B59/MIN(E59,128),0)*(C59/F59)*(D59/G59)*((MIN(B59,MIN(E59,128))+F59)*G59*(17/32)/1024))</x:f>
        <x:v>13056</x:v>
      </x:c>
      <x:c r="O59" s="2871" t="n">
        <x:f>IF(AND(ISNUMBER(N59),ISNUMBER(K59),K59&gt;0),N59*1024/K59,"")</x:f>
        <x:v>104448</x:v>
      </x:c>
      <x:c r="P59" s="2872" t="n">
        <x:f>IF(OR(E59="",F59="",G59=""),"",((H59+I59)*1024)/(E59*F59*G59/16384))</x:f>
        <x:v>408</x:v>
      </x:c>
      <x:c r="Q59" s="2872" t="n">
        <x:f>IF(OR(E59="",F59="",G59=""),"",(E59*F59*4)/(E59*F59*G59/16384))</x:f>
        <x:v>128</x:v>
      </x:c>
      <x:c r="R59" s="2870" t="n">
        <x:f>IF(AND(ISNUMBER(K59),K59&gt;0,ISNUMBER(P59),P59&gt;0),MIN(1,K59/P59),"")</x:f>
        <x:v>0.3137254901960784</x:v>
      </x:c>
      <x:c r="S59" s="2870" t="n">
        <x:f>IF(AND(ISNUMBER(K59),K59&gt;0,ISNUMBER(Q59),Q59&gt;0),MIN(1,K59/Q59),"")</x:f>
        <x:v>1</x:v>
      </x:c>
      <x:c r="T59" s="2870" t="n">
        <x:f>IF(AND(ISNUMBER(R59),ISNUMBER(S59)),MIN(R59,S59),"")</x:f>
        <x:v>0.3137254901960784</x:v>
      </x:c>
      <x:c r="U59" s="2872" t="n">
        <x:f>IF(AND(ISNUMBER(M59),ISNUMBER(T59)),(M59-T59)*100,"")</x:f>
        <x:v>-12.272549019607842</x:v>
      </x:c>
      <x:c r="V59" s="2973" t="n"/>
      <x:c r="W59" s="2870" t="n"/>
      <x:c r="X59" s="2870" t="n"/>
      <x:c r="Y59" s="2957" t="n"/>
      <x:c r="Z59" s="2870" t="n"/>
      <x:c r="AA59" s="2941" t="n"/>
      <x:c r="AB59" s="2933" t="inlineStr">
        <x:is>
          <x:t xml:space="preserve">PASS</x:t>
        </x:is>
      </x:c>
      <x:c r="AC59" s="2880" t="inlineStr">
        <x:is>
          <x:t xml:space="preserve">matmul_shared_lowp（MXFP4）；本轮 model-main ae058a98 + 6参数(无SoC带宽/延迟) 2026-09-26</x:t>
        </x:is>
      </x:c>
    </x:row>
    <x:row r="60" ht="20" customHeight="1">
      <x:c r="A60" s="2866" t="inlineStr">
        <x:is>
          <x:t xml:space="preserve">MXFP4</x:t>
        </x:is>
      </x:c>
      <x:c r="B60" s="2973" t="n">
        <x:v>2048</x:v>
      </x:c>
      <x:c r="C60" s="2973" t="n">
        <x:v>256</x:v>
      </x:c>
      <x:c r="D60" s="2973" t="n">
        <x:v>2048</x:v>
      </x:c>
      <x:c r="E60" s="2973" t="n">
        <x:v>128</x:v>
      </x:c>
      <x:c r="F60" s="2973" t="n">
        <x:v>64</x:v>
      </x:c>
      <x:c r="G60" s="2973" t="n">
        <x:v>1024</x:v>
      </x:c>
      <x:c r="H60" s="2974" t="n">
        <x:v>132</x:v>
      </x:c>
      <x:c r="I60" s="2974" t="n">
        <x:v>66</x:v>
      </x:c>
      <x:c r="J60" s="2974" t="n">
        <x:v>198</x:v>
      </x:c>
      <x:c r="K60" s="2975" t="n">
        <x:v>128</x:v>
      </x:c>
      <x:c r="L60" s="2973" t="n">
        <x:v>636465</x:v>
      </x:c>
      <x:c r="M60" s="2870" t="n">
        <x:f>IF(AND(ISNUMBER(L60),L60&gt;0),ROUND(B60*C60*D60/16384/L60*100,1)/100,"")</x:f>
        <x:v>0.10300000000000001</x:v>
      </x:c>
      <x:c r="N60" s="2973" t="n">
        <x:f>IF(OR(B60="",C60="",D60="",E60="",F60="",G60=""),"",ROUNDUP(B60/MIN(E60,128),0)*(C60/F60)*(D60/G60)*((MIN(B60,MIN(E60,128))+F60)*G60*(17/32)/1024))</x:f>
        <x:v>13056</x:v>
      </x:c>
      <x:c r="O60" s="2871" t="n">
        <x:f>IF(AND(ISNUMBER(N60),ISNUMBER(K60),K60&gt;0),N60*1024/K60,"")</x:f>
        <x:v>104448</x:v>
      </x:c>
      <x:c r="P60" s="2872" t="n">
        <x:f>IF(OR(E60="",F60="",G60=""),"",((H60+I60)*1024)/(E60*F60*G60/16384))</x:f>
        <x:v>396</x:v>
      </x:c>
      <x:c r="Q60" s="2872" t="n">
        <x:f>IF(OR(E60="",F60="",G60=""),"",(E60*F60*4)/(E60*F60*G60/16384))</x:f>
        <x:v>64</x:v>
      </x:c>
      <x:c r="R60" s="2870" t="n">
        <x:f>IF(AND(ISNUMBER(K60),K60&gt;0,ISNUMBER(P60),P60&gt;0),MIN(1,K60/P60),"")</x:f>
        <x:v>0.32323232323232326</x:v>
      </x:c>
      <x:c r="S60" s="2870" t="n">
        <x:f>IF(AND(ISNUMBER(K60),K60&gt;0,ISNUMBER(Q60),Q60&gt;0),MIN(1,K60/Q60),"")</x:f>
        <x:v>1</x:v>
      </x:c>
      <x:c r="T60" s="2870" t="n">
        <x:f>IF(AND(ISNUMBER(R60),ISNUMBER(S60)),MIN(R60,S60),"")</x:f>
        <x:v>0.32323232323232326</x:v>
      </x:c>
      <x:c r="U60" s="2872" t="n">
        <x:f>IF(AND(ISNUMBER(M60),ISNUMBER(T60)),(M60-T60)*100,"")</x:f>
        <x:v>-22.023232323232325</x:v>
      </x:c>
      <x:c r="V60" s="2973" t="n"/>
      <x:c r="W60" s="2870" t="n"/>
      <x:c r="X60" s="2870" t="n"/>
      <x:c r="Y60" s="2957" t="n"/>
      <x:c r="Z60" s="2870" t="n"/>
      <x:c r="AA60" s="2941" t="n"/>
      <x:c r="AB60" s="2933" t="inlineStr">
        <x:is>
          <x:t xml:space="preserve">PASS</x:t>
        </x:is>
      </x:c>
      <x:c r="AC60" s="2880" t="inlineStr">
        <x:is>
          <x:t xml:space="preserve">matmul_shared_lowp（MXFP4）；本轮 model-main ae058a98 + 6参数(无SoC带宽/延迟) 2026-09-26</x:t>
        </x:is>
      </x:c>
    </x:row>
    <x:row r="61" ht="20" customHeight="1">
      <x:c r="A61" s="2866" t="inlineStr">
        <x:is>
          <x:t xml:space="preserve">MXFP4</x:t>
        </x:is>
      </x:c>
      <x:c r="B61" s="2973" t="n">
        <x:v>2048</x:v>
      </x:c>
      <x:c r="C61" s="2973" t="n">
        <x:v>256</x:v>
      </x:c>
      <x:c r="D61" s="2973" t="n">
        <x:v>2048</x:v>
      </x:c>
      <x:c r="E61" s="2973" t="n">
        <x:v>128</x:v>
      </x:c>
      <x:c r="F61" s="2973" t="n">
        <x:v>128</x:v>
      </x:c>
      <x:c r="G61" s="2973" t="n">
        <x:v>256</x:v>
      </x:c>
      <x:c r="H61" s="2974" t="n">
        <x:v>36</x:v>
      </x:c>
      <x:c r="I61" s="2974" t="n">
        <x:v>36</x:v>
      </x:c>
      <x:c r="J61" s="2974" t="n">
        <x:v>72</x:v>
      </x:c>
      <x:c r="K61" s="2975" t="n">
        <x:v>128</x:v>
      </x:c>
      <x:c r="L61" s="2973" t="n">
        <x:v>237262</x:v>
      </x:c>
      <x:c r="M61" s="2870" t="n">
        <x:f>IF(AND(ISNUMBER(L61),L61&gt;0),ROUND(B61*C61*D61/16384/L61*100,1)/100,"")</x:f>
        <x:v>0.276</x:v>
      </x:c>
      <x:c r="N61" s="2973" t="n">
        <x:f>IF(OR(B61="",C61="",D61="",E61="",F61="",G61=""),"",ROUNDUP(B61/MIN(E61,128),0)*(C61/F61)*(D61/G61)*((MIN(B61,MIN(E61,128))+F61)*G61*(17/32)/1024))</x:f>
        <x:v>8704</x:v>
      </x:c>
      <x:c r="O61" s="2871" t="n">
        <x:f>IF(AND(ISNUMBER(N61),ISNUMBER(K61),K61&gt;0),N61*1024/K61,"")</x:f>
        <x:v>69632</x:v>
      </x:c>
      <x:c r="P61" s="2872" t="n">
        <x:f>IF(OR(E61="",F61="",G61=""),"",((H61+I61)*1024)/(E61*F61*G61/16384))</x:f>
        <x:v>288</x:v>
      </x:c>
      <x:c r="Q61" s="2872" t="n">
        <x:f>IF(OR(E61="",F61="",G61=""),"",(E61*F61*4)/(E61*F61*G61/16384))</x:f>
        <x:v>256</x:v>
      </x:c>
      <x:c r="R61" s="2870" t="n">
        <x:f>IF(AND(ISNUMBER(K61),K61&gt;0,ISNUMBER(P61),P61&gt;0),MIN(1,K61/P61),"")</x:f>
        <x:v>0.4444444444444444</x:v>
      </x:c>
      <x:c r="S61" s="2870" t="n">
        <x:f>IF(AND(ISNUMBER(K61),K61&gt;0,ISNUMBER(Q61),Q61&gt;0),MIN(1,K61/Q61),"")</x:f>
        <x:v>0.5</x:v>
      </x:c>
      <x:c r="T61" s="2870" t="n">
        <x:f>IF(AND(ISNUMBER(R61),ISNUMBER(S61)),MIN(R61,S61),"")</x:f>
        <x:v>0.4444444444444444</x:v>
      </x:c>
      <x:c r="U61" s="2872" t="n">
        <x:f>IF(AND(ISNUMBER(M61),ISNUMBER(T61)),(M61-T61)*100,"")</x:f>
        <x:v>-16.84444444444444</x:v>
      </x:c>
      <x:c r="V61" s="2973" t="n"/>
      <x:c r="W61" s="2870" t="n"/>
      <x:c r="X61" s="2870" t="n"/>
      <x:c r="Y61" s="2957" t="n"/>
      <x:c r="Z61" s="2870" t="n"/>
      <x:c r="AA61" s="2941" t="n"/>
      <x:c r="AB61" s="2933" t="inlineStr">
        <x:is>
          <x:t xml:space="preserve">PASS</x:t>
        </x:is>
      </x:c>
      <x:c r="AC61" s="2880" t="inlineStr">
        <x:is>
          <x:t xml:space="preserve">matmul_shared_lowp（MXFP4）；本轮 model-main ae058a98 + 6参数(无SoC带宽/延迟) 2026-09-26</x:t>
        </x:is>
      </x:c>
    </x:row>
    <x:row r="62" ht="20" customHeight="1">
      <x:c r="A62" s="2866" t="inlineStr">
        <x:is>
          <x:t xml:space="preserve">MXFP4</x:t>
        </x:is>
      </x:c>
      <x:c r="B62" s="2973" t="n">
        <x:v>2048</x:v>
      </x:c>
      <x:c r="C62" s="2973" t="n">
        <x:v>256</x:v>
      </x:c>
      <x:c r="D62" s="2973" t="n">
        <x:v>2048</x:v>
      </x:c>
      <x:c r="E62" s="2973" t="n">
        <x:v>128</x:v>
      </x:c>
      <x:c r="F62" s="2973" t="n">
        <x:v>128</x:v>
      </x:c>
      <x:c r="G62" s="2973" t="n">
        <x:v>512</x:v>
      </x:c>
      <x:c r="H62" s="2974" t="n">
        <x:v>68</x:v>
      </x:c>
      <x:c r="I62" s="2974" t="n">
        <x:v>68</x:v>
      </x:c>
      <x:c r="J62" s="2974" t="n">
        <x:v>136</x:v>
      </x:c>
      <x:c r="K62" s="2975" t="n">
        <x:v>128</x:v>
      </x:c>
      <x:c r="L62" s="2973" t="n">
        <x:v>309216</x:v>
      </x:c>
      <x:c r="M62" s="2870" t="n">
        <x:f>IF(AND(ISNUMBER(L62),L62&gt;0),ROUND(B62*C62*D62/16384/L62*100,1)/100,"")</x:f>
        <x:v>0.212</x:v>
      </x:c>
      <x:c r="N62" s="2973" t="n">
        <x:f>IF(OR(B62="",C62="",D62="",E62="",F62="",G62=""),"",ROUNDUP(B62/MIN(E62,128),0)*(C62/F62)*(D62/G62)*((MIN(B62,MIN(E62,128))+F62)*G62*(17/32)/1024))</x:f>
        <x:v>8704</x:v>
      </x:c>
      <x:c r="O62" s="2871" t="n">
        <x:f>IF(AND(ISNUMBER(N62),ISNUMBER(K62),K62&gt;0),N62*1024/K62,"")</x:f>
        <x:v>69632</x:v>
      </x:c>
      <x:c r="P62" s="2872" t="n">
        <x:f>IF(OR(E62="",F62="",G62=""),"",((H62+I62)*1024)/(E62*F62*G62/16384))</x:f>
        <x:v>272</x:v>
      </x:c>
      <x:c r="Q62" s="2872" t="n">
        <x:f>IF(OR(E62="",F62="",G62=""),"",(E62*F62*4)/(E62*F62*G62/16384))</x:f>
        <x:v>128</x:v>
      </x:c>
      <x:c r="R62" s="2870" t="n">
        <x:f>IF(AND(ISNUMBER(K62),K62&gt;0,ISNUMBER(P62),P62&gt;0),MIN(1,K62/P62),"")</x:f>
        <x:v>0.47058823529411764</x:v>
      </x:c>
      <x:c r="S62" s="2870" t="n">
        <x:f>IF(AND(ISNUMBER(K62),K62&gt;0,ISNUMBER(Q62),Q62&gt;0),MIN(1,K62/Q62),"")</x:f>
        <x:v>1</x:v>
      </x:c>
      <x:c r="T62" s="2870" t="n">
        <x:f>IF(AND(ISNUMBER(R62),ISNUMBER(S62)),MIN(R62,S62),"")</x:f>
        <x:v>0.47058823529411764</x:v>
      </x:c>
      <x:c r="U62" s="2872" t="n">
        <x:f>IF(AND(ISNUMBER(M62),ISNUMBER(T62)),(M62-T62)*100,"")</x:f>
        <x:v>-25.85882352941177</x:v>
      </x:c>
      <x:c r="V62" s="2973" t="n"/>
      <x:c r="W62" s="2870" t="n"/>
      <x:c r="X62" s="2870" t="n"/>
      <x:c r="Y62" s="2957" t="n"/>
      <x:c r="Z62" s="2870" t="n"/>
      <x:c r="AA62" s="2941" t="n"/>
      <x:c r="AB62" s="2933" t="inlineStr">
        <x:is>
          <x:t xml:space="preserve">PASS</x:t>
        </x:is>
      </x:c>
      <x:c r="AC62" s="2880" t="inlineStr">
        <x:is>
          <x:t xml:space="preserve">matmul_shared_lowp（MXFP4）；本轮 model-main ae058a98 + 6参数(无SoC带宽/延迟) 2026-09-26</x:t>
        </x:is>
      </x:c>
    </x:row>
    <x:row r="63" ht="20" customHeight="1">
      <x:c r="A63" s="2866" t="inlineStr">
        <x:is>
          <x:t xml:space="preserve">MXFP4</x:t>
        </x:is>
      </x:c>
      <x:c r="B63" s="2973" t="n">
        <x:v>2048</x:v>
      </x:c>
      <x:c r="C63" s="2973" t="n">
        <x:v>256</x:v>
      </x:c>
      <x:c r="D63" s="2973" t="n">
        <x:v>2048</x:v>
      </x:c>
      <x:c r="E63" s="2973" t="n">
        <x:v>128</x:v>
      </x:c>
      <x:c r="F63" s="2973" t="n">
        <x:v>128</x:v>
      </x:c>
      <x:c r="G63" s="2973" t="n">
        <x:v>1024</x:v>
      </x:c>
      <x:c r="H63" s="2974" t="n">
        <x:v>132</x:v>
      </x:c>
      <x:c r="I63" s="2974" t="n">
        <x:v>132</x:v>
      </x:c>
      <x:c r="J63" s="2974" t="n">
        <x:v>264</x:v>
      </x:c>
      <x:c r="K63" s="2975" t="n">
        <x:v>128</x:v>
      </x:c>
      <x:c r="L63" s="2973" t="inlineStr">
        <x:is>
          <x:t xml:space="preserve">—</x:t>
        </x:is>
      </x:c>
      <x:c r="M63" s="2870" t="str">
        <x:f>IF(AND(ISNUMBER(L63),L63&gt;0),ROUND(B63*C63*D63/16384/L63*100,1)/100,"")</x:f>
      </x:c>
      <x:c r="N63" s="2973" t="n">
        <x:f>IF(OR(B63="",C63="",D63="",E63="",F63="",G63=""),"",ROUNDUP(B63/MIN(E63,128),0)*(C63/F63)*(D63/G63)*((MIN(B63,MIN(E63,128))+F63)*G63*(17/32)/1024))</x:f>
        <x:v>8704</x:v>
      </x:c>
      <x:c r="O63" s="2871" t="n">
        <x:f>IF(AND(ISNUMBER(N63),ISNUMBER(K63),K63&gt;0),N63*1024/K63,"")</x:f>
        <x:v>69632</x:v>
      </x:c>
      <x:c r="P63" s="2872" t="n">
        <x:f>IF(OR(E63="",F63="",G63=""),"",((H63+I63)*1024)/(E63*F63*G63/16384))</x:f>
        <x:v>264</x:v>
      </x:c>
      <x:c r="Q63" s="2872" t="n">
        <x:f>IF(OR(E63="",F63="",G63=""),"",(E63*F63*4)/(E63*F63*G63/16384))</x:f>
        <x:v>64</x:v>
      </x:c>
      <x:c r="R63" s="2870" t="n">
        <x:f>IF(AND(ISNUMBER(K63),K63&gt;0,ISNUMBER(P63),P63&gt;0),MIN(1,K63/P63),"")</x:f>
        <x:v>0.48484848484848486</x:v>
      </x:c>
      <x:c r="S63" s="2870" t="n">
        <x:f>IF(AND(ISNUMBER(K63),K63&gt;0,ISNUMBER(Q63),Q63&gt;0),MIN(1,K63/Q63),"")</x:f>
        <x:v>1</x:v>
      </x:c>
      <x:c r="T63" s="2870" t="n">
        <x:f>IF(AND(ISNUMBER(R63),ISNUMBER(S63)),MIN(R63,S63),"")</x:f>
        <x:v>0.48484848484848486</x:v>
      </x:c>
      <x:c r="U63" s="2872" t="str">
        <x:f>IF(AND(ISNUMBER(M63),ISNUMBER(T63)),(M63-T63)*100,"")</x:f>
      </x:c>
      <x:c r="V63" s="2973" t="n"/>
      <x:c r="W63" s="2870" t="n"/>
      <x:c r="X63" s="2870" t="n"/>
      <x:c r="Y63" s="2957" t="n"/>
      <x:c r="Z63" s="2870" t="n"/>
      <x:c r="AA63" s="2941" t="n"/>
      <x:c r="AB63" s="2934" t="inlineStr">
        <x:is>
          <x:t xml:space="preserve">COMPILE_FAIL</x:t>
        </x:is>
      </x:c>
      <x:c r="AC63" s="2880" t="inlineStr">
        <x:is>
          <x:t xml:space="preserve">容量超限：完整 SharedTile 足迹 &gt; 256 KiB；本轮 model-main 9b3a4405 + 8参数(256KB ShareTReg) 2026-09-22</x:t>
        </x:is>
      </x:c>
    </x:row>
    <x:row r="64" ht="20" customHeight="1">
      <x:c r="A64" s="2866" t="inlineStr">
        <x:is>
          <x:t xml:space="preserve">MXFP4</x:t>
        </x:is>
      </x:c>
      <x:c r="B64" s="2973" t="n">
        <x:v>2048</x:v>
      </x:c>
      <x:c r="C64" s="2973" t="n">
        <x:v>256</x:v>
      </x:c>
      <x:c r="D64" s="2973" t="n">
        <x:v>2048</x:v>
      </x:c>
      <x:c r="E64" s="2973" t="n">
        <x:v>128</x:v>
      </x:c>
      <x:c r="F64" s="2973" t="n">
        <x:v>256</x:v>
      </x:c>
      <x:c r="G64" s="2973" t="n">
        <x:v>256</x:v>
      </x:c>
      <x:c r="H64" s="2974" t="n">
        <x:v>36</x:v>
      </x:c>
      <x:c r="I64" s="2974" t="n">
        <x:v>72</x:v>
      </x:c>
      <x:c r="J64" s="2974" t="n">
        <x:v>108</x:v>
      </x:c>
      <x:c r="K64" s="2975" t="n">
        <x:v>128</x:v>
      </x:c>
      <x:c r="L64" s="2973" t="n">
        <x:v>188251</x:v>
      </x:c>
      <x:c r="M64" s="2870" t="n">
        <x:f>IF(AND(ISNUMBER(L64),L64&gt;0),ROUND(B64*C64*D64/16384/L64*100,1)/100,"")</x:f>
        <x:v>0.348</x:v>
      </x:c>
      <x:c r="N64" s="2973" t="n">
        <x:f>IF(OR(B64="",C64="",D64="",E64="",F64="",G64=""),"",ROUNDUP(B64/MIN(E64,128),0)*(C64/F64)*(D64/G64)*((MIN(B64,MIN(E64,128))+F64)*G64*(17/32)/1024))</x:f>
        <x:v>6528</x:v>
      </x:c>
      <x:c r="O64" s="2871" t="n">
        <x:f>IF(AND(ISNUMBER(N64),ISNUMBER(K64),K64&gt;0),N64*1024/K64,"")</x:f>
        <x:v>52224</x:v>
      </x:c>
      <x:c r="P64" s="2872" t="n">
        <x:f>IF(OR(E64="",F64="",G64=""),"",((H64+I64)*1024)/(E64*F64*G64/16384))</x:f>
        <x:v>216</x:v>
      </x:c>
      <x:c r="Q64" s="2872" t="n">
        <x:f>IF(OR(E64="",F64="",G64=""),"",(E64*F64*4)/(E64*F64*G64/16384))</x:f>
        <x:v>256</x:v>
      </x:c>
      <x:c r="R64" s="2870" t="n">
        <x:f>IF(AND(ISNUMBER(K64),K64&gt;0,ISNUMBER(P64),P64&gt;0),MIN(1,K64/P64),"")</x:f>
        <x:v>0.5925925925925926</x:v>
      </x:c>
      <x:c r="S64" s="2870" t="n">
        <x:f>IF(AND(ISNUMBER(K64),K64&gt;0,ISNUMBER(Q64),Q64&gt;0),MIN(1,K64/Q64),"")</x:f>
        <x:v>0.5</x:v>
      </x:c>
      <x:c r="T64" s="2870" t="n">
        <x:f>IF(AND(ISNUMBER(R64),ISNUMBER(S64)),MIN(R64,S64),"")</x:f>
        <x:v>0.5</x:v>
      </x:c>
      <x:c r="U64" s="2872" t="n">
        <x:f>IF(AND(ISNUMBER(M64),ISNUMBER(T64)),(M64-T64)*100,"")</x:f>
        <x:v>-15.200000000000003</x:v>
      </x:c>
      <x:c r="V64" s="2973" t="n"/>
      <x:c r="W64" s="2870" t="n"/>
      <x:c r="X64" s="2870" t="n"/>
      <x:c r="Y64" s="2957" t="n"/>
      <x:c r="Z64" s="2870" t="n"/>
      <x:c r="AA64" s="2941" t="n"/>
      <x:c r="AB64" s="2933" t="inlineStr">
        <x:is>
          <x:t xml:space="preserve">PASS</x:t>
        </x:is>
      </x:c>
      <x:c r="AC64" s="2880" t="inlineStr">
        <x:is>
          <x:t xml:space="preserve">matmul_shared_lowp（MXFP4）；本轮 model-main ae058a98 + 6参数(无SoC带宽/延迟) 2026-09-26</x:t>
        </x:is>
      </x:c>
    </x:row>
    <x:row r="65" ht="20" customHeight="1">
      <x:c r="A65" s="2866" t="inlineStr">
        <x:is>
          <x:t xml:space="preserve">MXFP4</x:t>
        </x:is>
      </x:c>
      <x:c r="B65" s="2973" t="n">
        <x:v>2048</x:v>
      </x:c>
      <x:c r="C65" s="2973" t="n">
        <x:v>256</x:v>
      </x:c>
      <x:c r="D65" s="2973" t="n">
        <x:v>2048</x:v>
      </x:c>
      <x:c r="E65" s="2973" t="n">
        <x:v>128</x:v>
      </x:c>
      <x:c r="F65" s="2973" t="n">
        <x:v>256</x:v>
      </x:c>
      <x:c r="G65" s="2973" t="n">
        <x:v>512</x:v>
      </x:c>
      <x:c r="H65" s="2974" t="n">
        <x:v>68</x:v>
      </x:c>
      <x:c r="I65" s="2974" t="n">
        <x:v>136</x:v>
      </x:c>
      <x:c r="J65" s="2974" t="n">
        <x:v>204</x:v>
      </x:c>
      <x:c r="K65" s="2975" t="n">
        <x:v>128</x:v>
      </x:c>
      <x:c r="L65" s="2973" t="n">
        <x:v>335133</x:v>
      </x:c>
      <x:c r="M65" s="2870" t="n">
        <x:f>IF(AND(ISNUMBER(L65),L65&gt;0),ROUND(B65*C65*D65/16384/L65*100,1)/100,"")</x:f>
        <x:v>0.196</x:v>
      </x:c>
      <x:c r="N65" s="2973" t="n">
        <x:f>IF(OR(B65="",C65="",D65="",E65="",F65="",G65=""),"",ROUNDUP(B65/MIN(E65,128),0)*(C65/F65)*(D65/G65)*((MIN(B65,MIN(E65,128))+F65)*G65*(17/32)/1024))</x:f>
        <x:v>6528</x:v>
      </x:c>
      <x:c r="O65" s="2871" t="n">
        <x:f>IF(AND(ISNUMBER(N65),ISNUMBER(K65),K65&gt;0),N65*1024/K65,"")</x:f>
        <x:v>52224</x:v>
      </x:c>
      <x:c r="P65" s="2872" t="n">
        <x:f>IF(OR(E65="",F65="",G65=""),"",((H65+I65)*1024)/(E65*F65*G65/16384))</x:f>
        <x:v>204</x:v>
      </x:c>
      <x:c r="Q65" s="2872" t="n">
        <x:f>IF(OR(E65="",F65="",G65=""),"",(E65*F65*4)/(E65*F65*G65/16384))</x:f>
        <x:v>128</x:v>
      </x:c>
      <x:c r="R65" s="2870" t="n">
        <x:f>IF(AND(ISNUMBER(K65),K65&gt;0,ISNUMBER(P65),P65&gt;0),MIN(1,K65/P65),"")</x:f>
        <x:v>0.6274509803921569</x:v>
      </x:c>
      <x:c r="S65" s="2870" t="n">
        <x:f>IF(AND(ISNUMBER(K65),K65&gt;0,ISNUMBER(Q65),Q65&gt;0),MIN(1,K65/Q65),"")</x:f>
        <x:v>1</x:v>
      </x:c>
      <x:c r="T65" s="2870" t="n">
        <x:f>IF(AND(ISNUMBER(R65),ISNUMBER(S65)),MIN(R65,S65),"")</x:f>
        <x:v>0.6274509803921569</x:v>
      </x:c>
      <x:c r="U65" s="2872" t="n">
        <x:f>IF(AND(ISNUMBER(M65),ISNUMBER(T65)),(M65-T65)*100,"")</x:f>
        <x:v>-43.14509803921568</x:v>
      </x:c>
      <x:c r="V65" s="2973" t="n"/>
      <x:c r="W65" s="2870" t="n"/>
      <x:c r="X65" s="2870" t="n"/>
      <x:c r="Y65" s="2957" t="n"/>
      <x:c r="Z65" s="2870" t="n"/>
      <x:c r="AA65" s="2941" t="n"/>
      <x:c r="AB65" s="2933" t="inlineStr">
        <x:is>
          <x:t xml:space="preserve">PASS</x:t>
        </x:is>
      </x:c>
      <x:c r="AC65" s="2880" t="inlineStr">
        <x:is>
          <x:t xml:space="preserve">matmul_shared_lowp（MXFP4）；本轮 model-main ae058a98 + 6参数(无SoC带宽/延迟) 2026-09-26</x:t>
        </x:is>
      </x:c>
    </x:row>
    <x:row r="66" ht="20" customHeight="1">
      <x:c r="A66" s="2866" t="inlineStr">
        <x:is>
          <x:t xml:space="preserve">MXFP4</x:t>
        </x:is>
      </x:c>
      <x:c r="B66" s="2973" t="n">
        <x:v>2048</x:v>
      </x:c>
      <x:c r="C66" s="2973" t="n">
        <x:v>256</x:v>
      </x:c>
      <x:c r="D66" s="2973" t="n">
        <x:v>2048</x:v>
      </x:c>
      <x:c r="E66" s="2973" t="n">
        <x:v>128</x:v>
      </x:c>
      <x:c r="F66" s="2973" t="n">
        <x:v>256</x:v>
      </x:c>
      <x:c r="G66" s="2973" t="n">
        <x:v>1024</x:v>
      </x:c>
      <x:c r="H66" s="2974" t="n">
        <x:v>132</x:v>
      </x:c>
      <x:c r="I66" s="2974" t="n">
        <x:v>264</x:v>
      </x:c>
      <x:c r="J66" s="2974" t="n">
        <x:v>396</x:v>
      </x:c>
      <x:c r="K66" s="2975" t="n">
        <x:v>128</x:v>
      </x:c>
      <x:c r="L66" s="2973" t="inlineStr">
        <x:is>
          <x:t xml:space="preserve">—</x:t>
        </x:is>
      </x:c>
      <x:c r="M66" s="2870" t="str">
        <x:f>IF(AND(ISNUMBER(L66),L66&gt;0),ROUND(B66*C66*D66/16384/L66*100,1)/100,"")</x:f>
      </x:c>
      <x:c r="N66" s="2973" t="n">
        <x:f>IF(OR(B66="",C66="",D66="",E66="",F66="",G66=""),"",ROUNDUP(B66/MIN(E66,128),0)*(C66/F66)*(D66/G66)*((MIN(B66,MIN(E66,128))+F66)*G66*(17/32)/1024))</x:f>
        <x:v>6528</x:v>
      </x:c>
      <x:c r="O66" s="2871" t="n">
        <x:f>IF(AND(ISNUMBER(N66),ISNUMBER(K66),K66&gt;0),N66*1024/K66,"")</x:f>
        <x:v>52224</x:v>
      </x:c>
      <x:c r="P66" s="2872" t="n">
        <x:f>IF(OR(E66="",F66="",G66=""),"",((H66+I66)*1024)/(E66*F66*G66/16384))</x:f>
        <x:v>198</x:v>
      </x:c>
      <x:c r="Q66" s="2872" t="n">
        <x:f>IF(OR(E66="",F66="",G66=""),"",(E66*F66*4)/(E66*F66*G66/16384))</x:f>
        <x:v>64</x:v>
      </x:c>
      <x:c r="R66" s="2870" t="n">
        <x:f>IF(AND(ISNUMBER(K66),K66&gt;0,ISNUMBER(P66),P66&gt;0),MIN(1,K66/P66),"")</x:f>
        <x:v>0.6464646464646465</x:v>
      </x:c>
      <x:c r="S66" s="2870" t="n">
        <x:f>IF(AND(ISNUMBER(K66),K66&gt;0,ISNUMBER(Q66),Q66&gt;0),MIN(1,K66/Q66),"")</x:f>
        <x:v>1</x:v>
      </x:c>
      <x:c r="T66" s="2870" t="n">
        <x:f>IF(AND(ISNUMBER(R66),ISNUMBER(S66)),MIN(R66,S66),"")</x:f>
        <x:v>0.6464646464646465</x:v>
      </x:c>
      <x:c r="U66" s="2872" t="str">
        <x:f>IF(AND(ISNUMBER(M66),ISNUMBER(T66)),(M66-T66)*100,"")</x:f>
      </x:c>
      <x:c r="V66" s="2973" t="n"/>
      <x:c r="W66" s="2870" t="n"/>
      <x:c r="X66" s="2870" t="n"/>
      <x:c r="Y66" s="2957" t="n"/>
      <x:c r="Z66" s="2870" t="n"/>
      <x:c r="AA66" s="2941" t="n"/>
      <x:c r="AB66" s="2934" t="inlineStr">
        <x:is>
          <x:t xml:space="preserve">COMPILE_FAIL</x:t>
        </x:is>
      </x:c>
      <x:c r="AC66" s="2880" t="inlineStr">
        <x:is>
          <x:t xml:space="preserve">容量超限：完整 SharedTile 足迹 &gt; 256 KiB；本轮 model-main 9b3a4405 + 8参数(256KB ShareTReg) 2026-09-22</x:t>
        </x:is>
      </x:c>
    </x:row>
    <x:row r="67" ht="24" customHeight="1">
      <x:c r="A67" s="2805" t="inlineStr">
        <x:is>
          <x:t xml:space="preserve">▌ S2  —  128×256×7168</x:t>
        </x:is>
      </x:c>
      <x:c r="B67" s="2961" t="n"/>
      <x:c r="C67" s="2961" t="n"/>
      <x:c r="D67" s="2961" t="n"/>
      <x:c r="E67" s="2961" t="n"/>
      <x:c r="F67" s="2961" t="n"/>
      <x:c r="G67" s="2961" t="n"/>
      <x:c r="H67" s="2962" t="n"/>
      <x:c r="I67" s="2962" t="n"/>
      <x:c r="J67" s="2962" t="n"/>
      <x:c r="K67" s="2963"/>
      <x:c r="L67" s="2961" t="n"/>
      <x:c r="M67" s="2809" t="n"/>
      <x:c r="N67" s="2961" t="n"/>
      <x:c r="O67" s="2810" t="n"/>
      <x:c r="P67" s="2811" t="n"/>
      <x:c r="Q67" s="2811" t="n"/>
      <x:c r="R67" s="2809" t="n"/>
      <x:c r="S67" s="2809" t="n"/>
      <x:c r="T67" s="2809" t="n"/>
      <x:c r="U67" s="2811" t="n"/>
      <x:c r="V67" s="2961" t="n"/>
      <x:c r="W67" s="2809" t="n"/>
      <x:c r="X67" s="2809" t="n"/>
      <x:c r="Y67" s="2953" t="n"/>
      <x:c r="Z67" s="2809" t="n"/>
      <x:c r="AA67" s="2805" t="n"/>
      <x:c r="AB67" s="2805" t="n"/>
      <x:c r="AC67" s="2805" t="n"/>
    </x:row>
    <x:row r="68" ht="20" customHeight="1">
      <x:c r="A68" s="2822" t="inlineStr">
        <x:is>
          <x:t xml:space="preserve">FP32</x:t>
        </x:is>
      </x:c>
      <x:c r="B68" s="2964" t="n"/>
      <x:c r="C68" s="2964" t="n"/>
      <x:c r="D68" s="2964" t="n"/>
      <x:c r="E68" s="2964" t="n"/>
      <x:c r="F68" s="2964" t="n"/>
      <x:c r="G68" s="2964" t="n"/>
      <x:c r="H68" s="2965" t="n"/>
      <x:c r="I68" s="2965" t="n"/>
      <x:c r="J68" s="2965" t="n"/>
      <x:c r="K68" s="2966"/>
      <x:c r="L68" s="2964" t="n"/>
      <x:c r="M68" s="2826" t="str"/>
      <x:c r="N68" s="2964" t="str"/>
      <x:c r="O68" s="2827" t="str"/>
      <x:c r="P68" s="2828" t="str"/>
      <x:c r="Q68" s="2828" t="str"/>
      <x:c r="R68" s="2826" t="str"/>
      <x:c r="S68" s="2826" t="str"/>
      <x:c r="T68" s="2826" t="str"/>
      <x:c r="U68" s="2828" t="str"/>
      <x:c r="V68" s="2964" t="n"/>
      <x:c r="W68" s="2826" t="n"/>
      <x:c r="X68" s="2826" t="n"/>
      <x:c r="Y68" s="2954" t="n"/>
      <x:c r="Z68" s="2826" t="n"/>
      <x:c r="AA68" s="2822" t="n"/>
      <x:c r="AB68" s="2822" t="n"/>
      <x:c r="AC68" s="2822" t="n"/>
    </x:row>
    <x:row r="69" ht="20" customHeight="1">
      <x:c r="A69" s="2891" t="inlineStr">
        <x:is>
          <x:t xml:space="preserve">FP32</x:t>
        </x:is>
      </x:c>
      <x:c r="B69" s="2976" t="n">
        <x:v>128</x:v>
      </x:c>
      <x:c r="C69" s="2976" t="n">
        <x:v>256</x:v>
      </x:c>
      <x:c r="D69" s="2976" t="n">
        <x:v>7168</x:v>
      </x:c>
      <x:c r="E69" s="2976" t="n">
        <x:v>128</x:v>
      </x:c>
      <x:c r="F69" s="2976" t="n">
        <x:v>64</x:v>
      </x:c>
      <x:c r="G69" s="2976" t="n">
        <x:v>64</x:v>
      </x:c>
      <x:c r="H69" s="2977" t="n">
        <x:v>32</x:v>
      </x:c>
      <x:c r="I69" s="2977" t="n">
        <x:v>16</x:v>
      </x:c>
      <x:c r="J69" s="2977" t="n">
        <x:v>48</x:v>
      </x:c>
      <x:c r="K69" s="2978" t="n">
        <x:v>128</x:v>
      </x:c>
      <x:c r="L69" s="2976" t="n">
        <x:v>268797</x:v>
      </x:c>
      <x:c r="M69" s="2895" t="n">
        <x:f>IF(AND(ISNUMBER(L69),L69&gt;0),ROUND(B69*C69*D69/2048/L69*100,1)/100,"")</x:f>
        <x:v>0.42700000000000005</x:v>
      </x:c>
      <x:c r="N69" s="2976" t="n">
        <x:f>IF(OR(B69="",C69="",D69="",E69="",F69="",G69=""),"",ROUNDUP(B69/MIN(E69,128),0)*(C69/F69)*(D69/G69)*((MIN(B69,MIN(E69,128))+F69)*G69*4/1024))</x:f>
        <x:v>21504</x:v>
      </x:c>
      <x:c r="O69" s="2896" t="n">
        <x:f>IF(AND(ISNUMBER(N69),ISNUMBER(K69),K69&gt;0),N69*1024/K69,"")</x:f>
        <x:v>172032</x:v>
      </x:c>
      <x:c r="P69" s="2897" t="n">
        <x:f>IF(OR(E69="",F69="",G69=""),"",((H69+I69)*1024)/(E69*F69*G69/2048))</x:f>
        <x:v>192</x:v>
      </x:c>
      <x:c r="Q69" s="2897" t="n">
        <x:f>IF(OR(E69="",F69="",G69=""),"",(E69*F69*4)/(E69*F69*G69/2048))</x:f>
        <x:v>128</x:v>
      </x:c>
      <x:c r="R69" s="2895" t="n">
        <x:f>IF(AND(ISNUMBER(K69),K69&gt;0,ISNUMBER(P69),P69&gt;0),MIN(1,K69/P69),"")</x:f>
        <x:v>0.6666666666666666</x:v>
      </x:c>
      <x:c r="S69" s="2895" t="n">
        <x:f>IF(AND(ISNUMBER(K69),K69&gt;0,ISNUMBER(Q69),Q69&gt;0),MIN(1,K69/Q69),"")</x:f>
        <x:v>1</x:v>
      </x:c>
      <x:c r="T69" s="2895" t="n">
        <x:f>IF(AND(ISNUMBER(R69),ISNUMBER(S69)),MIN(R69,S69),"")</x:f>
        <x:v>0.6666666666666666</x:v>
      </x:c>
      <x:c r="U69" s="2897" t="n">
        <x:f>IF(AND(ISNUMBER(M69),ISNUMBER(T69)),(M69-T69)*100,"")</x:f>
        <x:v>-23.966666666666658</x:v>
      </x:c>
      <x:c r="V69" s="2976" t="n">
        <x:v>117857</x:v>
      </x:c>
      <x:c r="W69" s="2895" t="n">
        <x:v>0.973</x:v>
      </x:c>
      <x:c r="X69" s="2895" t="n">
        <x:f>IF(AND(ISNUMBER(L69),ISNUMBER(V69),L69&gt;0,V69&gt;0),(L69-V69)/L69,"")</x:f>
        <x:v>0.5615390052716362</x:v>
      </x:c>
      <x:c r="Y69" s="2958" t="n">
        <x:f>IF(AND(ISNUMBER(L69),ISNUMBER(V69),L69&gt;0,V69&gt;0),L69/V69,"")</x:f>
        <x:v>2.280704582672221</x:v>
      </x:c>
      <x:c r="Z69" s="2895" t="n">
        <x:f>IF(AND(ISNUMBER(C69),ISNUMBER(F69),C69&gt;0,F69&gt;0),1-F69/C69,"")</x:f>
        <x:v>0.75</x:v>
      </x:c>
      <x:c r="AA69" s="2935" t="inlineStr">
        <x:is>
          <x:t xml:space="preserve">PASS</x:t>
        </x:is>
      </x:c>
      <x:c r="AB69" s="2935" t="inlineStr">
        <x:is>
          <x:t xml:space="preserve">PASS</x:t>
        </x:is>
      </x:c>
      <x:c r="AC69" s="2905" t="inlineStr">
        <x:is>
          <x:t xml:space="preserve">本轮 model-main ae058a98 + 6参数(无SoC带宽/延迟) 2026-09-26</x:t>
        </x:is>
      </x:c>
    </x:row>
    <x:row r="70" ht="20" customHeight="1">
      <x:c r="A70" s="2943" t="inlineStr">
        <x:is>
          <x:t xml:space="preserve">FP32</x:t>
        </x:is>
      </x:c>
      <x:c r="B70" s="2970" t="n">
        <x:v>128</x:v>
      </x:c>
      <x:c r="C70" s="2970" t="n">
        <x:v>256</x:v>
      </x:c>
      <x:c r="D70" s="2970" t="n">
        <x:v>7168</x:v>
      </x:c>
      <x:c r="E70" s="2970" t="n">
        <x:v>128</x:v>
      </x:c>
      <x:c r="F70" s="2970" t="n">
        <x:v>64</x:v>
      </x:c>
      <x:c r="G70" s="2970" t="n">
        <x:v>128</x:v>
      </x:c>
      <x:c r="H70" s="2971" t="n">
        <x:v>64</x:v>
      </x:c>
      <x:c r="I70" s="2971" t="n">
        <x:v>32</x:v>
      </x:c>
      <x:c r="J70" s="2971" t="n">
        <x:v>96</x:v>
      </x:c>
      <x:c r="K70" s="2972" t="n">
        <x:v>128</x:v>
      </x:c>
      <x:c r="L70" s="2970" t="n">
        <x:v>269450</x:v>
      </x:c>
      <x:c r="M70" s="2947" t="n">
        <x:f>IF(AND(ISNUMBER(L70),L70&gt;0),ROUND(B70*C70*D70/2048/L70*100,1)/100,"")</x:f>
        <x:v>0.426</x:v>
      </x:c>
      <x:c r="N70" s="2970" t="n">
        <x:f>IF(OR(B70="",C70="",D70="",E70="",F70="",G70=""),"",ROUNDUP(B70/MIN(E70,128),0)*(C70/F70)*(D70/G70)*((MIN(B70,MIN(E70,128))+F70)*G70*4/1024))</x:f>
        <x:v>21504</x:v>
      </x:c>
      <x:c r="O70" s="2948" t="n">
        <x:f>IF(AND(ISNUMBER(N70),ISNUMBER(K70),K70&gt;0),N70*1024/K70,"")</x:f>
        <x:v>172032</x:v>
      </x:c>
      <x:c r="P70" s="2949" t="n">
        <x:f>IF(OR(E70="",F70="",G70=""),"",((H70+I70)*1024)/(E70*F70*G70/2048))</x:f>
        <x:v>192</x:v>
      </x:c>
      <x:c r="Q70" s="2949" t="n">
        <x:f>IF(OR(E70="",F70="",G70=""),"",(E70*F70*4)/(E70*F70*G70/2048))</x:f>
        <x:v>64</x:v>
      </x:c>
      <x:c r="R70" s="2947" t="n">
        <x:f>IF(AND(ISNUMBER(K70),K70&gt;0,ISNUMBER(P70),P70&gt;0),MIN(1,K70/P70),"")</x:f>
        <x:v>0.6666666666666666</x:v>
      </x:c>
      <x:c r="S70" s="2947" t="n">
        <x:f>IF(AND(ISNUMBER(K70),K70&gt;0,ISNUMBER(Q70),Q70&gt;0),MIN(1,K70/Q70),"")</x:f>
        <x:v>1</x:v>
      </x:c>
      <x:c r="T70" s="2947" t="n">
        <x:f>IF(AND(ISNUMBER(R70),ISNUMBER(S70)),MIN(R70,S70),"")</x:f>
        <x:v>0.6666666666666666</x:v>
      </x:c>
      <x:c r="U70" s="2949" t="n">
        <x:f>IF(AND(ISNUMBER(M70),ISNUMBER(T70)),(M70-T70)*100,"")</x:f>
        <x:v>-24.066666666666663</x:v>
      </x:c>
      <x:c r="V70" s="2970" t="n">
        <x:v>117363</x:v>
      </x:c>
      <x:c r="W70" s="2947" t="n">
        <x:v>0.977</x:v>
      </x:c>
      <x:c r="X70" s="2947" t="n">
        <x:f>IF(AND(ISNUMBER(L70),ISNUMBER(V70),L70&gt;0,V70&gt;0),(L70-V70)/L70,"")</x:f>
        <x:v>0.5644349601039154</x:v>
      </x:c>
      <x:c r="Y70" s="2956" t="n">
        <x:f>IF(AND(ISNUMBER(L70),ISNUMBER(V70),L70&gt;0,V70&gt;0),L70/V70,"")</x:f>
        <x:v>2.2958683741894803</x:v>
      </x:c>
      <x:c r="Z70" s="2947" t="n">
        <x:f>IF(AND(ISNUMBER(C70),ISNUMBER(F70),C70&gt;0,F70&gt;0),1-F70/C70,"")</x:f>
        <x:v>0.75</x:v>
      </x:c>
      <x:c r="AA70" s="2951" t="inlineStr">
        <x:is>
          <x:t xml:space="preserve">PASS</x:t>
        </x:is>
      </x:c>
      <x:c r="AB70" s="2951" t="inlineStr">
        <x:is>
          <x:t xml:space="preserve">PASS</x:t>
        </x:is>
      </x:c>
      <x:c r="AC70" s="2952" t="inlineStr">
        <x:is>
          <x:t xml:space="preserve">本轮 model-main ae058a98 + 6参数(无SoC带宽/延迟) 2026-09-26</x:t>
        </x:is>
      </x:c>
    </x:row>
    <x:row r="71" ht="20" customHeight="1">
      <x:c r="A71" s="2891" t="inlineStr">
        <x:is>
          <x:t xml:space="preserve">FP32</x:t>
        </x:is>
      </x:c>
      <x:c r="B71" s="2976" t="n">
        <x:v>128</x:v>
      </x:c>
      <x:c r="C71" s="2976" t="n">
        <x:v>256</x:v>
      </x:c>
      <x:c r="D71" s="2976" t="n">
        <x:v>7168</x:v>
      </x:c>
      <x:c r="E71" s="2976" t="n">
        <x:v>128</x:v>
      </x:c>
      <x:c r="F71" s="2976" t="n">
        <x:v>64</x:v>
      </x:c>
      <x:c r="G71" s="2976" t="n">
        <x:v>256</x:v>
      </x:c>
      <x:c r="H71" s="2977" t="n">
        <x:v>128</x:v>
      </x:c>
      <x:c r="I71" s="2977" t="n">
        <x:v>64</x:v>
      </x:c>
      <x:c r="J71" s="2977" t="n">
        <x:v>192</x:v>
      </x:c>
      <x:c r="K71" s="2978" t="n">
        <x:v>128</x:v>
      </x:c>
      <x:c r="L71" s="2976" t="n">
        <x:v>538974</x:v>
      </x:c>
      <x:c r="M71" s="2895" t="n">
        <x:f>IF(AND(ISNUMBER(L71),L71&gt;0),ROUND(B71*C71*D71/2048/L71*100,1)/100,"")</x:f>
        <x:v>0.213</x:v>
      </x:c>
      <x:c r="N71" s="2976" t="n">
        <x:f>IF(OR(B71="",C71="",D71="",E71="",F71="",G71=""),"",ROUNDUP(B71/MIN(E71,128),0)*(C71/F71)*(D71/G71)*((MIN(B71,MIN(E71,128))+F71)*G71*4/1024))</x:f>
        <x:v>21504</x:v>
      </x:c>
      <x:c r="O71" s="2896" t="n">
        <x:f>IF(AND(ISNUMBER(N71),ISNUMBER(K71),K71&gt;0),N71*1024/K71,"")</x:f>
        <x:v>172032</x:v>
      </x:c>
      <x:c r="P71" s="2897" t="n">
        <x:f>IF(OR(E71="",F71="",G71=""),"",((H71+I71)*1024)/(E71*F71*G71/2048))</x:f>
        <x:v>192</x:v>
      </x:c>
      <x:c r="Q71" s="2897" t="n">
        <x:f>IF(OR(E71="",F71="",G71=""),"",(E71*F71*4)/(E71*F71*G71/2048))</x:f>
        <x:v>32</x:v>
      </x:c>
      <x:c r="R71" s="2895" t="n">
        <x:f>IF(AND(ISNUMBER(K71),K71&gt;0,ISNUMBER(P71),P71&gt;0),MIN(1,K71/P71),"")</x:f>
        <x:v>0.6666666666666666</x:v>
      </x:c>
      <x:c r="S71" s="2895" t="n">
        <x:f>IF(AND(ISNUMBER(K71),K71&gt;0,ISNUMBER(Q71),Q71&gt;0),MIN(1,K71/Q71),"")</x:f>
        <x:v>1</x:v>
      </x:c>
      <x:c r="T71" s="2895" t="n">
        <x:f>IF(AND(ISNUMBER(R71),ISNUMBER(S71)),MIN(R71,S71),"")</x:f>
        <x:v>0.6666666666666666</x:v>
      </x:c>
      <x:c r="U71" s="2897" t="n">
        <x:f>IF(AND(ISNUMBER(M71),ISNUMBER(T71)),(M71-T71)*100,"")</x:f>
        <x:v>-45.36666666666667</x:v>
      </x:c>
      <x:c r="V71" s="2976" t="n">
        <x:v>330260</x:v>
      </x:c>
      <x:c r="W71" s="2895" t="n">
        <x:v>0.347</x:v>
      </x:c>
      <x:c r="X71" s="2895" t="n">
        <x:f>IF(AND(ISNUMBER(L71),ISNUMBER(V71),L71&gt;0,V71&gt;0),(L71-V71)/L71,"")</x:f>
        <x:v>0.38724316942932313</x:v>
      </x:c>
      <x:c r="Y71" s="2958" t="n">
        <x:f>IF(AND(ISNUMBER(L71),ISNUMBER(V71),L71&gt;0,V71&gt;0),L71/V71,"")</x:f>
        <x:v>1.6319687518924484</x:v>
      </x:c>
      <x:c r="Z71" s="2895" t="n">
        <x:f>IF(AND(ISNUMBER(C71),ISNUMBER(F71),C71&gt;0,F71&gt;0),1-F71/C71,"")</x:f>
        <x:v>0.75</x:v>
      </x:c>
      <x:c r="AA71" s="2935" t="inlineStr">
        <x:is>
          <x:t xml:space="preserve">PASS</x:t>
        </x:is>
      </x:c>
      <x:c r="AB71" s="2935" t="inlineStr">
        <x:is>
          <x:t xml:space="preserve">PASS</x:t>
        </x:is>
      </x:c>
      <x:c r="AC71" s="2905" t="inlineStr">
        <x:is>
          <x:t xml:space="preserve">本轮 model-main ae058a98 + 6参数(无SoC带宽/延迟) 2026-09-26</x:t>
        </x:is>
      </x:c>
    </x:row>
    <x:row r="72" ht="20" customHeight="1">
      <x:c r="A72" s="2891" t="inlineStr">
        <x:is>
          <x:t xml:space="preserve">FP32</x:t>
        </x:is>
      </x:c>
      <x:c r="B72" s="2976" t="n">
        <x:v>128</x:v>
      </x:c>
      <x:c r="C72" s="2976" t="n">
        <x:v>256</x:v>
      </x:c>
      <x:c r="D72" s="2976" t="n">
        <x:v>7168</x:v>
      </x:c>
      <x:c r="E72" s="2976" t="n">
        <x:v>128</x:v>
      </x:c>
      <x:c r="F72" s="2976" t="n">
        <x:v>128</x:v>
      </x:c>
      <x:c r="G72" s="2976" t="n">
        <x:v>64</x:v>
      </x:c>
      <x:c r="H72" s="2977" t="n">
        <x:v>32</x:v>
      </x:c>
      <x:c r="I72" s="2977" t="n">
        <x:v>32</x:v>
      </x:c>
      <x:c r="J72" s="2977" t="n">
        <x:v>64</x:v>
      </x:c>
      <x:c r="K72" s="2978" t="n">
        <x:v>128</x:v>
      </x:c>
      <x:c r="L72" s="2976" t="n">
        <x:v>180019</x:v>
      </x:c>
      <x:c r="M72" s="2895" t="n">
        <x:f>IF(AND(ISNUMBER(L72),L72&gt;0),ROUND(B72*C72*D72/2048/L72*100,1)/100,"")</x:f>
        <x:v>0.637</x:v>
      </x:c>
      <x:c r="N72" s="2976" t="n">
        <x:f>IF(OR(B72="",C72="",D72="",E72="",F72="",G72=""),"",ROUNDUP(B72/MIN(E72,128),0)*(C72/F72)*(D72/G72)*((MIN(B72,MIN(E72,128))+F72)*G72*4/1024))</x:f>
        <x:v>14336</x:v>
      </x:c>
      <x:c r="O72" s="2896" t="n">
        <x:f>IF(AND(ISNUMBER(N72),ISNUMBER(K72),K72&gt;0),N72*1024/K72,"")</x:f>
        <x:v>114688</x:v>
      </x:c>
      <x:c r="P72" s="2897" t="n">
        <x:f>IF(OR(E72="",F72="",G72=""),"",((H72+I72)*1024)/(E72*F72*G72/2048))</x:f>
        <x:v>128</x:v>
      </x:c>
      <x:c r="Q72" s="2897" t="n">
        <x:f>IF(OR(E72="",F72="",G72=""),"",(E72*F72*4)/(E72*F72*G72/2048))</x:f>
        <x:v>128</x:v>
      </x:c>
      <x:c r="R72" s="2895" t="n">
        <x:f>IF(AND(ISNUMBER(K72),K72&gt;0,ISNUMBER(P72),P72&gt;0),MIN(1,K72/P72),"")</x:f>
        <x:v>1</x:v>
      </x:c>
      <x:c r="S72" s="2895" t="n">
        <x:f>IF(AND(ISNUMBER(K72),K72&gt;0,ISNUMBER(Q72),Q72&gt;0),MIN(1,K72/Q72),"")</x:f>
        <x:v>1</x:v>
      </x:c>
      <x:c r="T72" s="2895" t="n">
        <x:f>IF(AND(ISNUMBER(R72),ISNUMBER(S72)),MIN(R72,S72),"")</x:f>
        <x:v>1</x:v>
      </x:c>
      <x:c r="U72" s="2897" t="n">
        <x:f>IF(AND(ISNUMBER(M72),ISNUMBER(T72)),(M72-T72)*100,"")</x:f>
        <x:v>-36.3</x:v>
      </x:c>
      <x:c r="V72" s="2976" t="n">
        <x:v>117549</x:v>
      </x:c>
      <x:c r="W72" s="2895" t="n">
        <x:v>0.976</x:v>
      </x:c>
      <x:c r="X72" s="2895" t="n">
        <x:f>IF(AND(ISNUMBER(L72),ISNUMBER(V72),L72&gt;0,V72&gt;0),(L72-V72)/L72,"")</x:f>
        <x:v>0.34701892578005655</x:v>
      </x:c>
      <x:c r="Y72" s="2958" t="n">
        <x:f>IF(AND(ISNUMBER(L72),ISNUMBER(V72),L72&gt;0,V72&gt;0),L72/V72,"")</x:f>
        <x:v>1.5314379535342708</x:v>
      </x:c>
      <x:c r="Z72" s="2895" t="n">
        <x:f>IF(AND(ISNUMBER(C72),ISNUMBER(F72),C72&gt;0,F72&gt;0),1-F72/C72,"")</x:f>
        <x:v>0.5</x:v>
      </x:c>
      <x:c r="AA72" s="2935" t="inlineStr">
        <x:is>
          <x:t xml:space="preserve">PASS</x:t>
        </x:is>
      </x:c>
      <x:c r="AB72" s="2935" t="inlineStr">
        <x:is>
          <x:t xml:space="preserve">PASS</x:t>
        </x:is>
      </x:c>
      <x:c r="AC72" s="2905" t="inlineStr">
        <x:is>
          <x:t xml:space="preserve">本轮 model-main ae058a98 + 6参数(无SoC带宽/延迟) 2026-09-26</x:t>
        </x:is>
      </x:c>
    </x:row>
    <x:row r="73" ht="20" customHeight="1">
      <x:c r="A73" s="2891" t="inlineStr">
        <x:is>
          <x:t xml:space="preserve">FP32</x:t>
        </x:is>
      </x:c>
      <x:c r="B73" s="2976" t="n">
        <x:v>128</x:v>
      </x:c>
      <x:c r="C73" s="2976" t="n">
        <x:v>256</x:v>
      </x:c>
      <x:c r="D73" s="2976" t="n">
        <x:v>7168</x:v>
      </x:c>
      <x:c r="E73" s="2976" t="n">
        <x:v>128</x:v>
      </x:c>
      <x:c r="F73" s="2976" t="n">
        <x:v>128</x:v>
      </x:c>
      <x:c r="G73" s="2976" t="n">
        <x:v>128</x:v>
      </x:c>
      <x:c r="H73" s="2977" t="n">
        <x:v>64</x:v>
      </x:c>
      <x:c r="I73" s="2977" t="n">
        <x:v>64</x:v>
      </x:c>
      <x:c r="J73" s="2977" t="n">
        <x:v>128</x:v>
      </x:c>
      <x:c r="K73" s="2978" t="n">
        <x:v>128</x:v>
      </x:c>
      <x:c r="L73" s="2976" t="n">
        <x:v>191883</x:v>
      </x:c>
      <x:c r="M73" s="2895" t="n">
        <x:f>IF(AND(ISNUMBER(L73),L73&gt;0),ROUND(B73*C73*D73/2048/L73*100,1)/100,"")</x:f>
        <x:v>0.598</x:v>
      </x:c>
      <x:c r="N73" s="2976" t="n">
        <x:f>IF(OR(B73="",C73="",D73="",E73="",F73="",G73=""),"",ROUNDUP(B73/MIN(E73,128),0)*(C73/F73)*(D73/G73)*((MIN(B73,MIN(E73,128))+F73)*G73*4/1024))</x:f>
        <x:v>14336</x:v>
      </x:c>
      <x:c r="O73" s="2896" t="n">
        <x:f>IF(AND(ISNUMBER(N73),ISNUMBER(K73),K73&gt;0),N73*1024/K73,"")</x:f>
        <x:v>114688</x:v>
      </x:c>
      <x:c r="P73" s="2897" t="n">
        <x:f>IF(OR(E73="",F73="",G73=""),"",((H73+I73)*1024)/(E73*F73*G73/2048))</x:f>
        <x:v>128</x:v>
      </x:c>
      <x:c r="Q73" s="2897" t="n">
        <x:f>IF(OR(E73="",F73="",G73=""),"",(E73*F73*4)/(E73*F73*G73/2048))</x:f>
        <x:v>64</x:v>
      </x:c>
      <x:c r="R73" s="2895" t="n">
        <x:f>IF(AND(ISNUMBER(K73),K73&gt;0,ISNUMBER(P73),P73&gt;0),MIN(1,K73/P73),"")</x:f>
        <x:v>1</x:v>
      </x:c>
      <x:c r="S73" s="2895" t="n">
        <x:f>IF(AND(ISNUMBER(K73),K73&gt;0,ISNUMBER(Q73),Q73&gt;0),MIN(1,K73/Q73),"")</x:f>
        <x:v>1</x:v>
      </x:c>
      <x:c r="T73" s="2895" t="n">
        <x:f>IF(AND(ISNUMBER(R73),ISNUMBER(S73)),MIN(R73,S73),"")</x:f>
        <x:v>1</x:v>
      </x:c>
      <x:c r="U73" s="2897" t="n">
        <x:f>IF(AND(ISNUMBER(M73),ISNUMBER(T73)),(M73-T73)*100,"")</x:f>
        <x:v>-40.2</x:v>
      </x:c>
      <x:c r="V73" s="2976" t="n">
        <x:v>117559</x:v>
      </x:c>
      <x:c r="W73" s="2895" t="n">
        <x:v>0.976</x:v>
      </x:c>
      <x:c r="X73" s="2895" t="n">
        <x:f>IF(AND(ISNUMBER(L73),ISNUMBER(V73),L73&gt;0,V73&gt;0),(L73-V73)/L73,"")</x:f>
        <x:v>0.3873402021023228</x:v>
      </x:c>
      <x:c r="Y73" s="2958" t="n">
        <x:f>IF(AND(ISNUMBER(L73),ISNUMBER(V73),L73&gt;0,V73&gt;0),L73/V73,"")</x:f>
        <x:v>1.6322272220757237</x:v>
      </x:c>
      <x:c r="Z73" s="2895" t="n">
        <x:f>IF(AND(ISNUMBER(C73),ISNUMBER(F73),C73&gt;0,F73&gt;0),1-F73/C73,"")</x:f>
        <x:v>0.5</x:v>
      </x:c>
      <x:c r="AA73" s="2935" t="inlineStr">
        <x:is>
          <x:t xml:space="preserve">PASS</x:t>
        </x:is>
      </x:c>
      <x:c r="AB73" s="2935" t="inlineStr">
        <x:is>
          <x:t xml:space="preserve">PASS</x:t>
        </x:is>
      </x:c>
      <x:c r="AC73" s="2905" t="inlineStr">
        <x:is>
          <x:t xml:space="preserve">本轮 model-main ae058a98 + 6参数(无SoC带宽/延迟) 2026-09-26</x:t>
        </x:is>
      </x:c>
    </x:row>
    <x:row r="74" ht="20" customHeight="1">
      <x:c r="A74" s="2891" t="inlineStr">
        <x:is>
          <x:t xml:space="preserve">FP32</x:t>
        </x:is>
      </x:c>
      <x:c r="B74" s="2976" t="n">
        <x:v>128</x:v>
      </x:c>
      <x:c r="C74" s="2976" t="n">
        <x:v>256</x:v>
      </x:c>
      <x:c r="D74" s="2976" t="n">
        <x:v>7168</x:v>
      </x:c>
      <x:c r="E74" s="2976" t="n">
        <x:v>128</x:v>
      </x:c>
      <x:c r="F74" s="2976" t="n">
        <x:v>128</x:v>
      </x:c>
      <x:c r="G74" s="2976" t="n">
        <x:v>256</x:v>
      </x:c>
      <x:c r="H74" s="2977" t="n">
        <x:v>128</x:v>
      </x:c>
      <x:c r="I74" s="2977" t="n">
        <x:v>128</x:v>
      </x:c>
      <x:c r="J74" s="2977" t="n">
        <x:v>256</x:v>
      </x:c>
      <x:c r="K74" s="2978" t="n">
        <x:v>128</x:v>
      </x:c>
      <x:c r="L74" s="2976" t="n">
        <x:v>371743</x:v>
      </x:c>
      <x:c r="M74" s="2895" t="n">
        <x:f>IF(AND(ISNUMBER(L74),L74&gt;0),ROUND(B74*C74*D74/2048/L74*100,1)/100,"")</x:f>
        <x:v>0.309</x:v>
      </x:c>
      <x:c r="N74" s="2976" t="n">
        <x:f>IF(OR(B74="",C74="",D74="",E74="",F74="",G74=""),"",ROUNDUP(B74/MIN(E74,128),0)*(C74/F74)*(D74/G74)*((MIN(B74,MIN(E74,128))+F74)*G74*4/1024))</x:f>
        <x:v>14336</x:v>
      </x:c>
      <x:c r="O74" s="2896" t="n">
        <x:f>IF(AND(ISNUMBER(N74),ISNUMBER(K74),K74&gt;0),N74*1024/K74,"")</x:f>
        <x:v>114688</x:v>
      </x:c>
      <x:c r="P74" s="2897" t="n">
        <x:f>IF(OR(E74="",F74="",G74=""),"",((H74+I74)*1024)/(E74*F74*G74/2048))</x:f>
        <x:v>128</x:v>
      </x:c>
      <x:c r="Q74" s="2897" t="n">
        <x:f>IF(OR(E74="",F74="",G74=""),"",(E74*F74*4)/(E74*F74*G74/2048))</x:f>
        <x:v>32</x:v>
      </x:c>
      <x:c r="R74" s="2895" t="n">
        <x:f>IF(AND(ISNUMBER(K74),K74&gt;0,ISNUMBER(P74),P74&gt;0),MIN(1,K74/P74),"")</x:f>
        <x:v>1</x:v>
      </x:c>
      <x:c r="S74" s="2895" t="n">
        <x:f>IF(AND(ISNUMBER(K74),K74&gt;0,ISNUMBER(Q74),Q74&gt;0),MIN(1,K74/Q74),"")</x:f>
        <x:v>1</x:v>
      </x:c>
      <x:c r="T74" s="2895" t="n">
        <x:f>IF(AND(ISNUMBER(R74),ISNUMBER(S74)),MIN(R74,S74),"")</x:f>
        <x:v>1</x:v>
      </x:c>
      <x:c r="U74" s="2897" t="n">
        <x:f>IF(AND(ISNUMBER(M74),ISNUMBER(T74)),(M74-T74)*100,"")</x:f>
        <x:v>-69.10000000000001</x:v>
      </x:c>
      <x:c r="V74" s="2976" t="n">
        <x:v>323445</x:v>
      </x:c>
      <x:c r="W74" s="2895" t="n">
        <x:v>0.355</x:v>
      </x:c>
      <x:c r="X74" s="2895" t="n">
        <x:f>IF(AND(ISNUMBER(L74),ISNUMBER(V74),L74&gt;0,V74&gt;0),(L74-V74)/L74,"")</x:f>
        <x:v>0.1299230920286327</x:v>
      </x:c>
      <x:c r="Y74" s="2958" t="n">
        <x:f>IF(AND(ISNUMBER(L74),ISNUMBER(V74),L74&gt;0,V74&gt;0),L74/V74,"")</x:f>
        <x:v>1.1493236871802006</x:v>
      </x:c>
      <x:c r="Z74" s="2895" t="n">
        <x:f>IF(AND(ISNUMBER(C74),ISNUMBER(F74),C74&gt;0,F74&gt;0),1-F74/C74,"")</x:f>
        <x:v>0.5</x:v>
      </x:c>
      <x:c r="AA74" s="2935" t="inlineStr">
        <x:is>
          <x:t xml:space="preserve">PASS</x:t>
        </x:is>
      </x:c>
      <x:c r="AB74" s="2935" t="inlineStr">
        <x:is>
          <x:t xml:space="preserve">PASS</x:t>
        </x:is>
      </x:c>
      <x:c r="AC74" s="2905" t="inlineStr">
        <x:is>
          <x:t xml:space="preserve">本轮 model-main ae058a98 + 6参数(无SoC带宽/延迟) 2026-09-26</x:t>
        </x:is>
      </x:c>
    </x:row>
    <x:row r="75" ht="20" customHeight="1">
      <x:c r="A75" s="2891" t="inlineStr">
        <x:is>
          <x:t xml:space="preserve">FP32</x:t>
        </x:is>
      </x:c>
      <x:c r="B75" s="2976" t="n">
        <x:v>128</x:v>
      </x:c>
      <x:c r="C75" s="2976" t="n">
        <x:v>256</x:v>
      </x:c>
      <x:c r="D75" s="2976" t="n">
        <x:v>7168</x:v>
      </x:c>
      <x:c r="E75" s="2976" t="n">
        <x:v>128</x:v>
      </x:c>
      <x:c r="F75" s="2976" t="n">
        <x:v>256</x:v>
      </x:c>
      <x:c r="G75" s="2976" t="n">
        <x:v>64</x:v>
      </x:c>
      <x:c r="H75" s="2977" t="n">
        <x:v>32</x:v>
      </x:c>
      <x:c r="I75" s="2977" t="n">
        <x:v>64</x:v>
      </x:c>
      <x:c r="J75" s="2977" t="n">
        <x:v>96</x:v>
      </x:c>
      <x:c r="K75" s="2978" t="n">
        <x:v>128</x:v>
      </x:c>
      <x:c r="L75" s="2976" t="n">
        <x:v>137969</x:v>
      </x:c>
      <x:c r="M75" s="2895" t="n">
        <x:f>IF(AND(ISNUMBER(L75),L75&gt;0),ROUND(B75*C75*D75/2048/L75*100,1)/100,"")</x:f>
        <x:v>0.831</x:v>
      </x:c>
      <x:c r="N75" s="2976" t="n">
        <x:f>IF(OR(B75="",C75="",D75="",E75="",F75="",G75=""),"",ROUNDUP(B75/MIN(E75,128),0)*(C75/F75)*(D75/G75)*((MIN(B75,MIN(E75,128))+F75)*G75*4/1024))</x:f>
        <x:v>10752</x:v>
      </x:c>
      <x:c r="O75" s="2896" t="n">
        <x:f>IF(AND(ISNUMBER(N75),ISNUMBER(K75),K75&gt;0),N75*1024/K75,"")</x:f>
        <x:v>86016</x:v>
      </x:c>
      <x:c r="P75" s="2897" t="n">
        <x:f>IF(OR(E75="",F75="",G75=""),"",((H75+I75)*1024)/(E75*F75*G75/2048))</x:f>
        <x:v>96</x:v>
      </x:c>
      <x:c r="Q75" s="2897" t="n">
        <x:f>IF(OR(E75="",F75="",G75=""),"",(E75*F75*4)/(E75*F75*G75/2048))</x:f>
        <x:v>128</x:v>
      </x:c>
      <x:c r="R75" s="2895" t="n">
        <x:f>IF(AND(ISNUMBER(K75),K75&gt;0,ISNUMBER(P75),P75&gt;0),MIN(1,K75/P75),"")</x:f>
        <x:v>1</x:v>
      </x:c>
      <x:c r="S75" s="2895" t="n">
        <x:f>IF(AND(ISNUMBER(K75),K75&gt;0,ISNUMBER(Q75),Q75&gt;0),MIN(1,K75/Q75),"")</x:f>
        <x:v>1</x:v>
      </x:c>
      <x:c r="T75" s="2895" t="n">
        <x:f>IF(AND(ISNUMBER(R75),ISNUMBER(S75)),MIN(R75,S75),"")</x:f>
        <x:v>1</x:v>
      </x:c>
      <x:c r="U75" s="2897" t="n">
        <x:f>IF(AND(ISNUMBER(M75),ISNUMBER(T75)),(M75-T75)*100,"")</x:f>
        <x:v>-16.900000000000006</x:v>
      </x:c>
      <x:c r="V75" s="2976" t="n">
        <x:v>117549</x:v>
      </x:c>
      <x:c r="W75" s="2895" t="n">
        <x:v>0.976</x:v>
      </x:c>
      <x:c r="X75" s="2895" t="n">
        <x:f>IF(AND(ISNUMBER(L75),ISNUMBER(V75),L75&gt;0,V75&gt;0),(L75-V75)/L75,"")</x:f>
        <x:v>0.14800426182693213</x:v>
      </x:c>
      <x:c r="Y75" s="2958" t="n">
        <x:f>IF(AND(ISNUMBER(L75),ISNUMBER(V75),L75&gt;0,V75&gt;0),L75/V75,"")</x:f>
        <x:v>1.1737147912785306</x:v>
      </x:c>
      <x:c r="Z75" s="2895" t="n">
        <x:f>IF(AND(ISNUMBER(C75),ISNUMBER(F75),C75&gt;0,F75&gt;0),1-F75/C75,"")</x:f>
        <x:v>0</x:v>
      </x:c>
      <x:c r="AA75" s="2935" t="inlineStr">
        <x:is>
          <x:t xml:space="preserve">PASS</x:t>
        </x:is>
      </x:c>
      <x:c r="AB75" s="2935" t="inlineStr">
        <x:is>
          <x:t xml:space="preserve">PASS</x:t>
        </x:is>
      </x:c>
      <x:c r="AC75" s="2905" t="inlineStr">
        <x:is>
          <x:t xml:space="preserve">本轮 model-main ae058a98 + 6参数(无SoC带宽/延迟) 2026-09-26</x:t>
        </x:is>
      </x:c>
    </x:row>
    <x:row r="76" ht="20" customHeight="1">
      <x:c r="A76" s="2891" t="inlineStr">
        <x:is>
          <x:t xml:space="preserve">FP32</x:t>
        </x:is>
      </x:c>
      <x:c r="B76" s="2976" t="n">
        <x:v>128</x:v>
      </x:c>
      <x:c r="C76" s="2976" t="n">
        <x:v>256</x:v>
      </x:c>
      <x:c r="D76" s="2976" t="n">
        <x:v>7168</x:v>
      </x:c>
      <x:c r="E76" s="2976" t="n">
        <x:v>128</x:v>
      </x:c>
      <x:c r="F76" s="2976" t="n">
        <x:v>256</x:v>
      </x:c>
      <x:c r="G76" s="2976" t="n">
        <x:v>128</x:v>
      </x:c>
      <x:c r="H76" s="2977" t="n">
        <x:v>64</x:v>
      </x:c>
      <x:c r="I76" s="2977" t="n">
        <x:v>128</x:v>
      </x:c>
      <x:c r="J76" s="2977" t="n">
        <x:v>192</x:v>
      </x:c>
      <x:c r="K76" s="2978" t="n">
        <x:v>128</x:v>
      </x:c>
      <x:c r="L76" s="2976" t="n">
        <x:v>247263</x:v>
      </x:c>
      <x:c r="M76" s="2895" t="n">
        <x:f>IF(AND(ISNUMBER(L76),L76&gt;0),ROUND(B76*C76*D76/2048/L76*100,1)/100,"")</x:f>
        <x:v>0.46399999999999997</x:v>
      </x:c>
      <x:c r="N76" s="2976" t="n">
        <x:f>IF(OR(B76="",C76="",D76="",E76="",F76="",G76=""),"",ROUNDUP(B76/MIN(E76,128),0)*(C76/F76)*(D76/G76)*((MIN(B76,MIN(E76,128))+F76)*G76*4/1024))</x:f>
        <x:v>10752</x:v>
      </x:c>
      <x:c r="O76" s="2896" t="n">
        <x:f>IF(AND(ISNUMBER(N76),ISNUMBER(K76),K76&gt;0),N76*1024/K76,"")</x:f>
        <x:v>86016</x:v>
      </x:c>
      <x:c r="P76" s="2897" t="n">
        <x:f>IF(OR(E76="",F76="",G76=""),"",((H76+I76)*1024)/(E76*F76*G76/2048))</x:f>
        <x:v>96</x:v>
      </x:c>
      <x:c r="Q76" s="2897" t="n">
        <x:f>IF(OR(E76="",F76="",G76=""),"",(E76*F76*4)/(E76*F76*G76/2048))</x:f>
        <x:v>64</x:v>
      </x:c>
      <x:c r="R76" s="2895" t="n">
        <x:f>IF(AND(ISNUMBER(K76),K76&gt;0,ISNUMBER(P76),P76&gt;0),MIN(1,K76/P76),"")</x:f>
        <x:v>1</x:v>
      </x:c>
      <x:c r="S76" s="2895" t="n">
        <x:f>IF(AND(ISNUMBER(K76),K76&gt;0,ISNUMBER(Q76),Q76&gt;0),MIN(1,K76/Q76),"")</x:f>
        <x:v>1</x:v>
      </x:c>
      <x:c r="T76" s="2895" t="n">
        <x:f>IF(AND(ISNUMBER(R76),ISNUMBER(S76)),MIN(R76,S76),"")</x:f>
        <x:v>1</x:v>
      </x:c>
      <x:c r="U76" s="2897" t="n">
        <x:f>IF(AND(ISNUMBER(M76),ISNUMBER(T76)),(M76-T76)*100,"")</x:f>
        <x:v>-53.6</x:v>
      </x:c>
      <x:c r="V76" s="2976" t="n">
        <x:v>123065</x:v>
      </x:c>
      <x:c r="W76" s="2895" t="n">
        <x:v>0.9320000000000001</x:v>
      </x:c>
      <x:c r="X76" s="2895" t="n">
        <x:f>IF(AND(ISNUMBER(L76),ISNUMBER(V76),L76&gt;0,V76&gt;0),(L76-V76)/L76,"")</x:f>
        <x:v>0.5022910827742121</x:v>
      </x:c>
      <x:c r="Y76" s="2958" t="n">
        <x:f>IF(AND(ISNUMBER(L76),ISNUMBER(V76),L76&gt;0,V76&gt;0),L76/V76,"")</x:f>
        <x:v>2.009206516881323</x:v>
      </x:c>
      <x:c r="Z76" s="2895" t="n">
        <x:f>IF(AND(ISNUMBER(C76),ISNUMBER(F76),C76&gt;0,F76&gt;0),1-F76/C76,"")</x:f>
        <x:v>0</x:v>
      </x:c>
      <x:c r="AA76" s="2935" t="inlineStr">
        <x:is>
          <x:t xml:space="preserve">PASS</x:t>
        </x:is>
      </x:c>
      <x:c r="AB76" s="2935" t="inlineStr">
        <x:is>
          <x:t xml:space="preserve">PASS</x:t>
        </x:is>
      </x:c>
      <x:c r="AC76" s="2905" t="inlineStr">
        <x:is>
          <x:t xml:space="preserve">本轮 model-main ae058a98 + 6参数(无SoC带宽/延迟) 2026-09-26</x:t>
        </x:is>
      </x:c>
    </x:row>
    <x:row r="77" ht="20" customHeight="1">
      <x:c r="A77" s="2891" t="inlineStr">
        <x:is>
          <x:t xml:space="preserve">FP32</x:t>
        </x:is>
      </x:c>
      <x:c r="B77" s="2976" t="n">
        <x:v>128</x:v>
      </x:c>
      <x:c r="C77" s="2976" t="n">
        <x:v>256</x:v>
      </x:c>
      <x:c r="D77" s="2976" t="n">
        <x:v>7168</x:v>
      </x:c>
      <x:c r="E77" s="2976" t="n">
        <x:v>128</x:v>
      </x:c>
      <x:c r="F77" s="2976" t="n">
        <x:v>256</x:v>
      </x:c>
      <x:c r="G77" s="2976" t="n">
        <x:v>256</x:v>
      </x:c>
      <x:c r="H77" s="2977" t="n">
        <x:v>128</x:v>
      </x:c>
      <x:c r="I77" s="2977" t="n">
        <x:v>256</x:v>
      </x:c>
      <x:c r="J77" s="2977" t="n">
        <x:v>384</x:v>
      </x:c>
      <x:c r="K77" s="2978" t="n">
        <x:v>128</x:v>
      </x:c>
      <x:c r="L77" s="2976" t="inlineStr">
        <x:is>
          <x:t xml:space="preserve">—</x:t>
        </x:is>
      </x:c>
      <x:c r="M77" s="2895" t="str">
        <x:f>IF(AND(ISNUMBER(L77),L77&gt;0),ROUND(B77*C77*D77/2048/L77*100,1)/100,"")</x:f>
      </x:c>
      <x:c r="N77" s="2976" t="n">
        <x:f>IF(OR(B77="",C77="",D77="",E77="",F77="",G77=""),"",ROUNDUP(B77/MIN(E77,128),0)*(C77/F77)*(D77/G77)*((MIN(B77,MIN(E77,128))+F77)*G77*4/1024))</x:f>
        <x:v>10752</x:v>
      </x:c>
      <x:c r="O77" s="2896" t="n">
        <x:f>IF(AND(ISNUMBER(N77),ISNUMBER(K77),K77&gt;0),N77*1024/K77,"")</x:f>
        <x:v>86016</x:v>
      </x:c>
      <x:c r="P77" s="2897" t="n">
        <x:f>IF(OR(E77="",F77="",G77=""),"",((H77+I77)*1024)/(E77*F77*G77/2048))</x:f>
        <x:v>96</x:v>
      </x:c>
      <x:c r="Q77" s="2897" t="n">
        <x:f>IF(OR(E77="",F77="",G77=""),"",(E77*F77*4)/(E77*F77*G77/2048))</x:f>
        <x:v>32</x:v>
      </x:c>
      <x:c r="R77" s="2895" t="n">
        <x:f>IF(AND(ISNUMBER(K77),K77&gt;0,ISNUMBER(P77),P77&gt;0),MIN(1,K77/P77),"")</x:f>
        <x:v>1</x:v>
      </x:c>
      <x:c r="S77" s="2895" t="n">
        <x:f>IF(AND(ISNUMBER(K77),K77&gt;0,ISNUMBER(Q77),Q77&gt;0),MIN(1,K77/Q77),"")</x:f>
        <x:v>1</x:v>
      </x:c>
      <x:c r="T77" s="2895" t="n">
        <x:f>IF(AND(ISNUMBER(R77),ISNUMBER(S77)),MIN(R77,S77),"")</x:f>
        <x:v>1</x:v>
      </x:c>
      <x:c r="U77" s="2897" t="str">
        <x:f>IF(AND(ISNUMBER(M77),ISNUMBER(T77)),(M77-T77)*100,"")</x:f>
      </x:c>
      <x:c r="V77" s="2976" t="inlineStr">
        <x:is>
          <x:t xml:space="preserve">—</x:t>
        </x:is>
      </x:c>
      <x:c r="W77" s="2895" t="n"/>
      <x:c r="X77" s="2895" t="n"/>
      <x:c r="Y77" s="2958" t="n"/>
      <x:c r="Z77" s="2895" t="n"/>
      <x:c r="AA77" s="2936" t="inlineStr">
        <x:is>
          <x:t xml:space="preserve">DEADLOCK</x:t>
        </x:is>
      </x:c>
      <x:c r="AB77" s="2936" t="inlineStr">
        <x:is>
          <x:t xml:space="preserve">COMPILE_FAIL</x:t>
        </x:is>
      </x:c>
      <x:c r="AC77" s="2905" t="inlineStr">
        <x:is>
          <x:t xml:space="preserve">容量超限：完整 SharedTile 足迹 &gt; 256 KiB；本轮 model-main 9b3a4405 + 8参数(256KB ShareTReg) 2026-09-22</x:t>
        </x:is>
      </x:c>
    </x:row>
    <x:row r="78" ht="20" customHeight="1">
      <x:c r="A78" s="2822" t="inlineStr">
        <x:is>
          <x:t xml:space="preserve">BF16</x:t>
        </x:is>
      </x:c>
      <x:c r="B78" s="2964" t="n"/>
      <x:c r="C78" s="2964" t="n"/>
      <x:c r="D78" s="2964" t="n"/>
      <x:c r="E78" s="2964" t="n"/>
      <x:c r="F78" s="2964" t="n"/>
      <x:c r="G78" s="2964" t="n"/>
      <x:c r="H78" s="2965" t="n"/>
      <x:c r="I78" s="2965" t="n"/>
      <x:c r="J78" s="2965" t="n"/>
      <x:c r="K78" s="2966"/>
      <x:c r="L78" s="2964" t="n"/>
      <x:c r="M78" s="2826" t="str"/>
      <x:c r="N78" s="2964" t="str"/>
      <x:c r="O78" s="2827" t="str"/>
      <x:c r="P78" s="2828" t="str"/>
      <x:c r="Q78" s="2828" t="str"/>
      <x:c r="R78" s="2826" t="str"/>
      <x:c r="S78" s="2826" t="str"/>
      <x:c r="T78" s="2826" t="str"/>
      <x:c r="U78" s="2828" t="str"/>
      <x:c r="V78" s="2964" t="n"/>
      <x:c r="W78" s="2826" t="n"/>
      <x:c r="X78" s="2826" t="n"/>
      <x:c r="Y78" s="2954" t="n"/>
      <x:c r="Z78" s="2826" t="n"/>
      <x:c r="AA78" s="2822" t="n"/>
      <x:c r="AB78" s="2822" t="n"/>
      <x:c r="AC78" s="2822" t="n"/>
    </x:row>
    <x:row r="79" ht="20" customHeight="1">
      <x:c r="A79" s="2916" t="inlineStr">
        <x:is>
          <x:t xml:space="preserve">BF16</x:t>
        </x:is>
      </x:c>
      <x:c r="B79" s="2979" t="n">
        <x:v>128</x:v>
      </x:c>
      <x:c r="C79" s="2979" t="n">
        <x:v>256</x:v>
      </x:c>
      <x:c r="D79" s="2979" t="n">
        <x:v>7168</x:v>
      </x:c>
      <x:c r="E79" s="2979" t="n">
        <x:v>128</x:v>
      </x:c>
      <x:c r="F79" s="2979" t="n">
        <x:v>64</x:v>
      </x:c>
      <x:c r="G79" s="2979" t="n">
        <x:v>64</x:v>
      </x:c>
      <x:c r="H79" s="2980" t="n">
        <x:v>16</x:v>
      </x:c>
      <x:c r="I79" s="2980" t="n">
        <x:v>8</x:v>
      </x:c>
      <x:c r="J79" s="2980" t="n">
        <x:v>24</x:v>
      </x:c>
      <x:c r="K79" s="2981" t="n">
        <x:v>128</x:v>
      </x:c>
      <x:c r="L79" s="2979" t="n">
        <x:v>135311</x:v>
      </x:c>
      <x:c r="M79" s="2920" t="n">
        <x:f>IF(AND(ISNUMBER(L79),L79&gt;0),ROUND(B79*C79*D79/4096/L79*100,1)/100,"")</x:f>
        <x:v>0.424</x:v>
      </x:c>
      <x:c r="N79" s="2979" t="n">
        <x:f>IF(OR(B79="",C79="",D79="",E79="",F79="",G79=""),"",ROUNDUP(B79/MIN(E79,128),0)*(C79/F79)*(D79/G79)*((MIN(B79,MIN(E79,128))+F79)*G79*2/1024))</x:f>
        <x:v>10752</x:v>
      </x:c>
      <x:c r="O79" s="2921" t="n">
        <x:f>IF(AND(ISNUMBER(N79),ISNUMBER(K79),K79&gt;0),N79*1024/K79,"")</x:f>
        <x:v>86016</x:v>
      </x:c>
      <x:c r="P79" s="2922" t="n">
        <x:f>IF(OR(E79="",F79="",G79=""),"",((H79+I79)*1024)/(E79*F79*G79/4096))</x:f>
        <x:v>192</x:v>
      </x:c>
      <x:c r="Q79" s="2922" t="n">
        <x:f>IF(OR(E79="",F79="",G79=""),"",(E79*F79*4)/(E79*F79*G79/4096))</x:f>
        <x:v>256</x:v>
      </x:c>
      <x:c r="R79" s="2920" t="n">
        <x:f>IF(AND(ISNUMBER(K79),K79&gt;0,ISNUMBER(P79),P79&gt;0),MIN(1,K79/P79),"")</x:f>
        <x:v>0.6666666666666666</x:v>
      </x:c>
      <x:c r="S79" s="2920" t="n">
        <x:f>IF(AND(ISNUMBER(K79),K79&gt;0,ISNUMBER(Q79),Q79&gt;0),MIN(1,K79/Q79),"")</x:f>
        <x:v>0.5</x:v>
      </x:c>
      <x:c r="T79" s="2920" t="n">
        <x:f>IF(AND(ISNUMBER(R79),ISNUMBER(S79)),MIN(R79,S79),"")</x:f>
        <x:v>0.5</x:v>
      </x:c>
      <x:c r="U79" s="2922" t="n">
        <x:f>IF(AND(ISNUMBER(M79),ISNUMBER(T79)),(M79-T79)*100,"")</x:f>
        <x:v>-7.600000000000001</x:v>
      </x:c>
      <x:c r="V79" s="2979" t="n">
        <x:v>68489</x:v>
      </x:c>
      <x:c r="W79" s="2920" t="n">
        <x:v>1.675</x:v>
      </x:c>
      <x:c r="X79" s="2920" t="n">
        <x:f>IF(AND(ISNUMBER(L79),ISNUMBER(V79),L79&gt;0,V79&gt;0),(L79-V79)/L79,"")</x:f>
        <x:v>0.49384011647242276</x:v>
      </x:c>
      <x:c r="Y79" s="2959" t="n">
        <x:f>IF(AND(ISNUMBER(L79),ISNUMBER(V79),L79&gt;0,V79&gt;0),L79/V79,"")</x:f>
        <x:v>1.9756603250156959</x:v>
      </x:c>
      <x:c r="Z79" s="2920" t="n">
        <x:f>IF(AND(ISNUMBER(C79),ISNUMBER(F79),C79&gt;0,F79&gt;0),1-F79/C79,"")</x:f>
        <x:v>0.75</x:v>
      </x:c>
      <x:c r="AA79" s="2938" t="inlineStr">
        <x:is>
          <x:t xml:space="preserve">PASS</x:t>
        </x:is>
      </x:c>
      <x:c r="AB79" s="2938" t="inlineStr">
        <x:is>
          <x:t xml:space="preserve">PASS</x:t>
        </x:is>
      </x:c>
      <x:c r="AC79" s="2930" t="inlineStr">
        <x:is>
          <x:t xml:space="preserve">本轮 model-main ae058a98 + 6参数(无SoC带宽/延迟) 2026-09-26</x:t>
        </x:is>
      </x:c>
    </x:row>
    <x:row r="80" ht="20" customHeight="1">
      <x:c r="A80" s="2982" t="inlineStr">
        <x:is>
          <x:t xml:space="preserve">BF16</x:t>
        </x:is>
      </x:c>
      <x:c r="B80" s="2983" t="n">
        <x:v>128</x:v>
      </x:c>
      <x:c r="C80" s="2983" t="n">
        <x:v>256</x:v>
      </x:c>
      <x:c r="D80" s="2983" t="n">
        <x:v>7168</x:v>
      </x:c>
      <x:c r="E80" s="2983" t="n">
        <x:v>128</x:v>
      </x:c>
      <x:c r="F80" s="2983" t="n">
        <x:v>64</x:v>
      </x:c>
      <x:c r="G80" s="2983" t="n">
        <x:v>128</x:v>
      </x:c>
      <x:c r="H80" s="2984" t="n">
        <x:v>32</x:v>
      </x:c>
      <x:c r="I80" s="2984" t="n">
        <x:v>16</x:v>
      </x:c>
      <x:c r="J80" s="2984" t="n">
        <x:v>48</x:v>
      </x:c>
      <x:c r="K80" s="2985" t="n">
        <x:v>128</x:v>
      </x:c>
      <x:c r="L80" s="2983" t="n">
        <x:v>135601</x:v>
      </x:c>
      <x:c r="M80" s="2986" t="n">
        <x:f>IF(AND(ISNUMBER(L80),L80&gt;0),ROUND(B80*C80*D80/4096/L80*100,1)/100,"")</x:f>
        <x:v>0.423</x:v>
      </x:c>
      <x:c r="N80" s="2983" t="n">
        <x:f>IF(OR(B80="",C80="",D80="",E80="",F80="",G80=""),"",ROUNDUP(B80/MIN(E80,128),0)*(C80/F80)*(D80/G80)*((MIN(B80,MIN(E80,128))+F80)*G80*2/1024))</x:f>
        <x:v>10752</x:v>
      </x:c>
      <x:c r="O80" s="2987" t="n">
        <x:f>IF(AND(ISNUMBER(N80),ISNUMBER(K80),K80&gt;0),N80*1024/K80,"")</x:f>
        <x:v>86016</x:v>
      </x:c>
      <x:c r="P80" s="2988" t="n">
        <x:f>IF(OR(E80="",F80="",G80=""),"",((H80+I80)*1024)/(E80*F80*G80/4096))</x:f>
        <x:v>192</x:v>
      </x:c>
      <x:c r="Q80" s="2988" t="n">
        <x:f>IF(OR(E80="",F80="",G80=""),"",(E80*F80*4)/(E80*F80*G80/4096))</x:f>
        <x:v>128</x:v>
      </x:c>
      <x:c r="R80" s="2986" t="n">
        <x:f>IF(AND(ISNUMBER(K80),K80&gt;0,ISNUMBER(P80),P80&gt;0),MIN(1,K80/P80),"")</x:f>
        <x:v>0.6666666666666666</x:v>
      </x:c>
      <x:c r="S80" s="2986" t="n">
        <x:f>IF(AND(ISNUMBER(K80),K80&gt;0,ISNUMBER(Q80),Q80&gt;0),MIN(1,K80/Q80),"")</x:f>
        <x:v>1</x:v>
      </x:c>
      <x:c r="T80" s="2986" t="n">
        <x:f>IF(AND(ISNUMBER(R80),ISNUMBER(S80)),MIN(R80,S80),"")</x:f>
        <x:v>0.6666666666666666</x:v>
      </x:c>
      <x:c r="U80" s="2988" t="n">
        <x:f>IF(AND(ISNUMBER(M80),ISNUMBER(T80)),(M80-T80)*100,"")</x:f>
        <x:v>-24.366666666666664</x:v>
      </x:c>
      <x:c r="V80" s="2983" t="n">
        <x:v>59839</x:v>
      </x:c>
      <x:c r="W80" s="2986" t="n">
        <x:v>1.917</x:v>
      </x:c>
      <x:c r="X80" s="2986" t="n">
        <x:f>IF(AND(ISNUMBER(L80),ISNUMBER(V80),L80&gt;0,V80&gt;0),(L80-V80)/L80,"")</x:f>
        <x:v>0.5587126938591899</x:v>
      </x:c>
      <x:c r="Y80" s="2989" t="n">
        <x:f>IF(AND(ISNUMBER(L80),ISNUMBER(V80),L80&gt;0,V80&gt;0),L80/V80,"")</x:f>
        <x:v>2.2660973612526947</x:v>
      </x:c>
      <x:c r="Z80" s="2986" t="n">
        <x:f>IF(AND(ISNUMBER(C80),ISNUMBER(F80),C80&gt;0,F80&gt;0),1-F80/C80,"")</x:f>
        <x:v>0.75</x:v>
      </x:c>
      <x:c r="AA80" s="2990" t="inlineStr">
        <x:is>
          <x:t xml:space="preserve">PASS</x:t>
        </x:is>
      </x:c>
      <x:c r="AB80" s="2990" t="inlineStr">
        <x:is>
          <x:t xml:space="preserve">PASS</x:t>
        </x:is>
      </x:c>
      <x:c r="AC80" s="2991" t="inlineStr">
        <x:is>
          <x:t xml:space="preserve">本轮 model-main ae058a98 + 6参数(无SoC带宽/延迟) 2026-09-26</x:t>
        </x:is>
      </x:c>
    </x:row>
    <x:row r="81" ht="20" customHeight="1">
      <x:c r="A81" s="3002" t="inlineStr">
        <x:is>
          <x:t xml:space="preserve">BF16</x:t>
        </x:is>
      </x:c>
      <x:c r="B81" s="3003" t="n">
        <x:v>128</x:v>
      </x:c>
      <x:c r="C81" s="3003" t="n">
        <x:v>256</x:v>
      </x:c>
      <x:c r="D81" s="3003" t="n">
        <x:v>7168</x:v>
      </x:c>
      <x:c r="E81" s="3003" t="n">
        <x:v>128</x:v>
      </x:c>
      <x:c r="F81" s="3003" t="n">
        <x:v>64</x:v>
      </x:c>
      <x:c r="G81" s="3003" t="n">
        <x:v>256</x:v>
      </x:c>
      <x:c r="H81" s="3004" t="n">
        <x:v>64</x:v>
      </x:c>
      <x:c r="I81" s="3004" t="n">
        <x:v>32</x:v>
      </x:c>
      <x:c r="J81" s="3004" t="n">
        <x:v>96</x:v>
      </x:c>
      <x:c r="K81" s="3005" t="n">
        <x:v>128</x:v>
      </x:c>
      <x:c r="L81" s="3003" t="n">
        <x:v>135815</x:v>
      </x:c>
      <x:c r="M81" s="3006" t="n">
        <x:f>IF(AND(ISNUMBER(L81),L81&gt;0),ROUND(B81*C81*D81/4096/L81*100,1)/100,"")</x:f>
        <x:v>0.42200000000000004</x:v>
      </x:c>
      <x:c r="N81" s="3003" t="n">
        <x:f>IF(OR(B81="",C81="",D81="",E81="",F81="",G81=""),"",ROUNDUP(B81/MIN(E81,128),0)*(C81/F81)*(D81/G81)*((MIN(B81,MIN(E81,128))+F81)*G81*2/1024))</x:f>
        <x:v>10752</x:v>
      </x:c>
      <x:c r="O81" s="3007" t="n">
        <x:f>IF(AND(ISNUMBER(N81),ISNUMBER(K81),K81&gt;0),N81*1024/K81,"")</x:f>
        <x:v>86016</x:v>
      </x:c>
      <x:c r="P81" s="3008" t="n">
        <x:f>IF(OR(E81="",F81="",G81=""),"",((H81+I81)*1024)/(E81*F81*G81/4096))</x:f>
        <x:v>192</x:v>
      </x:c>
      <x:c r="Q81" s="3008" t="n">
        <x:f>IF(OR(E81="",F81="",G81=""),"",(E81*F81*4)/(E81*F81*G81/4096))</x:f>
        <x:v>64</x:v>
      </x:c>
      <x:c r="R81" s="3006" t="n">
        <x:f>IF(AND(ISNUMBER(K81),K81&gt;0,ISNUMBER(P81),P81&gt;0),MIN(1,K81/P81),"")</x:f>
        <x:v>0.6666666666666666</x:v>
      </x:c>
      <x:c r="S81" s="3006" t="n">
        <x:f>IF(AND(ISNUMBER(K81),K81&gt;0,ISNUMBER(Q81),Q81&gt;0),MIN(1,K81/Q81),"")</x:f>
        <x:v>1</x:v>
      </x:c>
      <x:c r="T81" s="3006" t="n">
        <x:f>IF(AND(ISNUMBER(R81),ISNUMBER(S81)),MIN(R81,S81),"")</x:f>
        <x:v>0.6666666666666666</x:v>
      </x:c>
      <x:c r="U81" s="3008" t="n">
        <x:f>IF(AND(ISNUMBER(M81),ISNUMBER(T81)),(M81-T81)*100,"")</x:f>
        <x:v>-24.466666666666658</x:v>
      </x:c>
      <x:c r="V81" s="3003" t="n">
        <x:v>59820</x:v>
      </x:c>
      <x:c r="W81" s="3006" t="n">
        <x:v>1.917</x:v>
      </x:c>
      <x:c r="X81" s="3006" t="n">
        <x:f>IF(AND(ISNUMBER(L81),ISNUMBER(V81),L81&gt;0,V81&gt;0),(L81-V81)/L81,"")</x:f>
        <x:v>0.5595479144424401</x:v>
      </x:c>
      <x:c r="Y81" s="3009" t="n">
        <x:f>IF(AND(ISNUMBER(L81),ISNUMBER(V81),L81&gt;0,V81&gt;0),L81/V81,"")</x:f>
        <x:v>2.2703945168839854</x:v>
      </x:c>
      <x:c r="Z81" s="3006" t="n">
        <x:f>IF(AND(ISNUMBER(C81),ISNUMBER(F81),C81&gt;0,F81&gt;0),1-F81/C81,"")</x:f>
        <x:v>0.75</x:v>
      </x:c>
      <x:c r="AA81" s="3010" t="inlineStr">
        <x:is>
          <x:t xml:space="preserve">PASS</x:t>
        </x:is>
      </x:c>
      <x:c r="AB81" s="3010" t="inlineStr">
        <x:is>
          <x:t xml:space="preserve">PASS</x:t>
        </x:is>
      </x:c>
      <x:c r="AC81" s="3011" t="inlineStr">
        <x:is>
          <x:t xml:space="preserve">本轮 model-main ae058a98 + 6参数(无SoC带宽/延迟) 2026-09-26</x:t>
        </x:is>
      </x:c>
    </x:row>
    <x:row r="82" ht="20" customHeight="1">
      <x:c r="A82" s="2916" t="inlineStr">
        <x:is>
          <x:t xml:space="preserve">BF16</x:t>
        </x:is>
      </x:c>
      <x:c r="B82" s="2979" t="n">
        <x:v>128</x:v>
      </x:c>
      <x:c r="C82" s="2979" t="n">
        <x:v>256</x:v>
      </x:c>
      <x:c r="D82" s="2979" t="n">
        <x:v>7168</x:v>
      </x:c>
      <x:c r="E82" s="2979" t="n">
        <x:v>128</x:v>
      </x:c>
      <x:c r="F82" s="2979" t="n">
        <x:v>128</x:v>
      </x:c>
      <x:c r="G82" s="2979" t="n">
        <x:v>64</x:v>
      </x:c>
      <x:c r="H82" s="2980" t="n">
        <x:v>16</x:v>
      </x:c>
      <x:c r="I82" s="2980" t="n">
        <x:v>16</x:v>
      </x:c>
      <x:c r="J82" s="2980" t="n">
        <x:v>32</x:v>
      </x:c>
      <x:c r="K82" s="2981" t="n">
        <x:v>128</x:v>
      </x:c>
      <x:c r="L82" s="2979" t="n">
        <x:v>90847</x:v>
      </x:c>
      <x:c r="M82" s="2920" t="n">
        <x:f>IF(AND(ISNUMBER(L82),L82&gt;0),ROUND(B82*C82*D82/4096/L82*100,1)/100,"")</x:f>
        <x:v>0.631</x:v>
      </x:c>
      <x:c r="N82" s="2979" t="n">
        <x:f>IF(OR(B82="",C82="",D82="",E82="",F82="",G82=""),"",ROUNDUP(B82/MIN(E82,128),0)*(C82/F82)*(D82/G82)*((MIN(B82,MIN(E82,128))+F82)*G82*2/1024))</x:f>
        <x:v>7168</x:v>
      </x:c>
      <x:c r="O82" s="2921" t="n">
        <x:f>IF(AND(ISNUMBER(N82),ISNUMBER(K82),K82&gt;0),N82*1024/K82,"")</x:f>
        <x:v>57344</x:v>
      </x:c>
      <x:c r="P82" s="2922" t="n">
        <x:f>IF(OR(E82="",F82="",G82=""),"",((H82+I82)*1024)/(E82*F82*G82/4096))</x:f>
        <x:v>128</x:v>
      </x:c>
      <x:c r="Q82" s="2922" t="n">
        <x:f>IF(OR(E82="",F82="",G82=""),"",(E82*F82*4)/(E82*F82*G82/4096))</x:f>
        <x:v>256</x:v>
      </x:c>
      <x:c r="R82" s="2920" t="n">
        <x:f>IF(AND(ISNUMBER(K82),K82&gt;0,ISNUMBER(P82),P82&gt;0),MIN(1,K82/P82),"")</x:f>
        <x:v>1</x:v>
      </x:c>
      <x:c r="S82" s="2920" t="n">
        <x:f>IF(AND(ISNUMBER(K82),K82&gt;0,ISNUMBER(Q82),Q82&gt;0),MIN(1,K82/Q82),"")</x:f>
        <x:v>0.5</x:v>
      </x:c>
      <x:c r="T82" s="2920" t="n">
        <x:f>IF(AND(ISNUMBER(R82),ISNUMBER(S82)),MIN(R82,S82),"")</x:f>
        <x:v>0.5</x:v>
      </x:c>
      <x:c r="U82" s="2922" t="n">
        <x:f>IF(AND(ISNUMBER(M82),ISNUMBER(T82)),(M82-T82)*100,"")</x:f>
        <x:v>13.100000000000001</x:v>
      </x:c>
      <x:c r="V82" s="2979" t="n">
        <x:v>284164</x:v>
      </x:c>
      <x:c r="W82" s="2920" t="n">
        <x:v>0.404</x:v>
      </x:c>
      <x:c r="X82" s="2920" t="n">
        <x:f>IF(AND(ISNUMBER(L82),ISNUMBER(V82),L82&gt;0,V82&gt;0),(L82-V82)/L82,"")</x:f>
        <x:v>-2.1279403832817816</x:v>
      </x:c>
      <x:c r="Y82" s="2959" t="n">
        <x:f>IF(AND(ISNUMBER(L82),ISNUMBER(V82),L82&gt;0,V82&gt;0),L82/V82,"")</x:f>
        <x:v>0.31969918779296463</x:v>
      </x:c>
      <x:c r="Z82" s="2920" t="n">
        <x:f>IF(AND(ISNUMBER(C82),ISNUMBER(F82),C82&gt;0,F82&gt;0),1-F82/C82,"")</x:f>
        <x:v>0.5</x:v>
      </x:c>
      <x:c r="AA82" s="2938" t="inlineStr">
        <x:is>
          <x:t xml:space="preserve">PASS</x:t>
        </x:is>
      </x:c>
      <x:c r="AB82" s="2938" t="inlineStr">
        <x:is>
          <x:t xml:space="preserve">PASS</x:t>
        </x:is>
      </x:c>
      <x:c r="AC82" s="2930" t="inlineStr">
        <x:is>
          <x:t xml:space="preserve">本轮 model-main ae058a98 + 6参数(无SoC带宽/延迟) 2026-09-26</x:t>
        </x:is>
      </x:c>
    </x:row>
    <x:row r="83" ht="20" customHeight="1">
      <x:c r="A83" s="2916" t="inlineStr">
        <x:is>
          <x:t xml:space="preserve">BF16</x:t>
        </x:is>
      </x:c>
      <x:c r="B83" s="2979" t="n">
        <x:v>128</x:v>
      </x:c>
      <x:c r="C83" s="2979" t="n">
        <x:v>256</x:v>
      </x:c>
      <x:c r="D83" s="2979" t="n">
        <x:v>7168</x:v>
      </x:c>
      <x:c r="E83" s="2979" t="n">
        <x:v>128</x:v>
      </x:c>
      <x:c r="F83" s="2979" t="n">
        <x:v>128</x:v>
      </x:c>
      <x:c r="G83" s="2979" t="n">
        <x:v>128</x:v>
      </x:c>
      <x:c r="H83" s="2980" t="n">
        <x:v>32</x:v>
      </x:c>
      <x:c r="I83" s="2980" t="n">
        <x:v>32</x:v>
      </x:c>
      <x:c r="J83" s="2980" t="n">
        <x:v>64</x:v>
      </x:c>
      <x:c r="K83" s="2981" t="n">
        <x:v>128</x:v>
      </x:c>
      <x:c r="L83" s="2979" t="n">
        <x:v>91224</x:v>
      </x:c>
      <x:c r="M83" s="2920" t="n">
        <x:f>IF(AND(ISNUMBER(L83),L83&gt;0),ROUND(B83*C83*D83/4096/L83*100,1)/100,"")</x:f>
        <x:v>0.629</x:v>
      </x:c>
      <x:c r="N83" s="2979" t="n">
        <x:f>IF(OR(B83="",C83="",D83="",E83="",F83="",G83=""),"",ROUNDUP(B83/MIN(E83,128),0)*(C83/F83)*(D83/G83)*((MIN(B83,MIN(E83,128))+F83)*G83*2/1024))</x:f>
        <x:v>7168</x:v>
      </x:c>
      <x:c r="O83" s="2921" t="n">
        <x:f>IF(AND(ISNUMBER(N83),ISNUMBER(K83),K83&gt;0),N83*1024/K83,"")</x:f>
        <x:v>57344</x:v>
      </x:c>
      <x:c r="P83" s="2922" t="n">
        <x:f>IF(OR(E83="",F83="",G83=""),"",((H83+I83)*1024)/(E83*F83*G83/4096))</x:f>
        <x:v>128</x:v>
      </x:c>
      <x:c r="Q83" s="2922" t="n">
        <x:f>IF(OR(E83="",F83="",G83=""),"",(E83*F83*4)/(E83*F83*G83/4096))</x:f>
        <x:v>128</x:v>
      </x:c>
      <x:c r="R83" s="2920" t="n">
        <x:f>IF(AND(ISNUMBER(K83),K83&gt;0,ISNUMBER(P83),P83&gt;0),MIN(1,K83/P83),"")</x:f>
        <x:v>1</x:v>
      </x:c>
      <x:c r="S83" s="2920" t="n">
        <x:f>IF(AND(ISNUMBER(K83),K83&gt;0,ISNUMBER(Q83),Q83&gt;0),MIN(1,K83/Q83),"")</x:f>
        <x:v>1</x:v>
      </x:c>
      <x:c r="T83" s="2920" t="n">
        <x:f>IF(AND(ISNUMBER(R83),ISNUMBER(S83)),MIN(R83,S83),"")</x:f>
        <x:v>1</x:v>
      </x:c>
      <x:c r="U83" s="2922" t="n">
        <x:f>IF(AND(ISNUMBER(M83),ISNUMBER(T83)),(M83-T83)*100,"")</x:f>
        <x:v>-37.1</x:v>
      </x:c>
      <x:c r="V83" s="2979" t="n">
        <x:v>59884</x:v>
      </x:c>
      <x:c r="W83" s="2920" t="n">
        <x:v>1.915</x:v>
      </x:c>
      <x:c r="X83" s="2920" t="n">
        <x:f>IF(AND(ISNUMBER(L83),ISNUMBER(V83),L83&gt;0,V83&gt;0),(L83-V83)/L83,"")</x:f>
        <x:v>0.34354994299745684</x:v>
      </x:c>
      <x:c r="Y83" s="2959" t="n">
        <x:f>IF(AND(ISNUMBER(L83),ISNUMBER(V83),L83&gt;0,V83&gt;0),L83/V83,"")</x:f>
        <x:v>1.5233451339255895</x:v>
      </x:c>
      <x:c r="Z83" s="2920" t="n">
        <x:f>IF(AND(ISNUMBER(C83),ISNUMBER(F83),C83&gt;0,F83&gt;0),1-F83/C83,"")</x:f>
        <x:v>0.5</x:v>
      </x:c>
      <x:c r="AA83" s="2938" t="inlineStr">
        <x:is>
          <x:t xml:space="preserve">PASS</x:t>
        </x:is>
      </x:c>
      <x:c r="AB83" s="2938" t="inlineStr">
        <x:is>
          <x:t xml:space="preserve">PASS</x:t>
        </x:is>
      </x:c>
      <x:c r="AC83" s="2930" t="inlineStr">
        <x:is>
          <x:t xml:space="preserve">本轮 model-main ae058a98 + 6参数(无SoC带宽/延迟) 2026-09-26</x:t>
        </x:is>
      </x:c>
    </x:row>
    <x:row r="84" ht="20" customHeight="1">
      <x:c r="A84" s="2916" t="inlineStr">
        <x:is>
          <x:t xml:space="preserve">BF16</x:t>
        </x:is>
      </x:c>
      <x:c r="B84" s="2979" t="n">
        <x:v>128</x:v>
      </x:c>
      <x:c r="C84" s="2979" t="n">
        <x:v>256</x:v>
      </x:c>
      <x:c r="D84" s="2979" t="n">
        <x:v>7168</x:v>
      </x:c>
      <x:c r="E84" s="2979" t="n">
        <x:v>128</x:v>
      </x:c>
      <x:c r="F84" s="2979" t="n">
        <x:v>128</x:v>
      </x:c>
      <x:c r="G84" s="2979" t="n">
        <x:v>256</x:v>
      </x:c>
      <x:c r="H84" s="2980" t="n">
        <x:v>64</x:v>
      </x:c>
      <x:c r="I84" s="2980" t="n">
        <x:v>64</x:v>
      </x:c>
      <x:c r="J84" s="2980" t="n">
        <x:v>128</x:v>
      </x:c>
      <x:c r="K84" s="2981" t="n">
        <x:v>128</x:v>
      </x:c>
      <x:c r="L84" s="2979" t="n">
        <x:v>97526</x:v>
      </x:c>
      <x:c r="M84" s="2920" t="n">
        <x:f>IF(AND(ISNUMBER(L84),L84&gt;0),ROUND(B84*C84*D84/4096/L84*100,1)/100,"")</x:f>
        <x:v>0.588</x:v>
      </x:c>
      <x:c r="N84" s="2979" t="n">
        <x:f>IF(OR(B84="",C84="",D84="",E84="",F84="",G84=""),"",ROUNDUP(B84/MIN(E84,128),0)*(C84/F84)*(D84/G84)*((MIN(B84,MIN(E84,128))+F84)*G84*2/1024))</x:f>
        <x:v>7168</x:v>
      </x:c>
      <x:c r="O84" s="2921" t="n">
        <x:f>IF(AND(ISNUMBER(N84),ISNUMBER(K84),K84&gt;0),N84*1024/K84,"")</x:f>
        <x:v>57344</x:v>
      </x:c>
      <x:c r="P84" s="2922" t="n">
        <x:f>IF(OR(E84="",F84="",G84=""),"",((H84+I84)*1024)/(E84*F84*G84/4096))</x:f>
        <x:v>128</x:v>
      </x:c>
      <x:c r="Q84" s="2922" t="n">
        <x:f>IF(OR(E84="",F84="",G84=""),"",(E84*F84*4)/(E84*F84*G84/4096))</x:f>
        <x:v>64</x:v>
      </x:c>
      <x:c r="R84" s="2920" t="n">
        <x:f>IF(AND(ISNUMBER(K84),K84&gt;0,ISNUMBER(P84),P84&gt;0),MIN(1,K84/P84),"")</x:f>
        <x:v>1</x:v>
      </x:c>
      <x:c r="S84" s="2920" t="n">
        <x:f>IF(AND(ISNUMBER(K84),K84&gt;0,ISNUMBER(Q84),Q84&gt;0),MIN(1,K84/Q84),"")</x:f>
        <x:v>1</x:v>
      </x:c>
      <x:c r="T84" s="2920" t="n">
        <x:f>IF(AND(ISNUMBER(R84),ISNUMBER(S84)),MIN(R84,S84),"")</x:f>
        <x:v>1</x:v>
      </x:c>
      <x:c r="U84" s="2922" t="n">
        <x:f>IF(AND(ISNUMBER(M84),ISNUMBER(T84)),(M84-T84)*100,"")</x:f>
        <x:v>-41.2</x:v>
      </x:c>
      <x:c r="V84" s="2979" t="n">
        <x:v>61212</x:v>
      </x:c>
      <x:c r="W84" s="2920" t="n">
        <x:v>1.874</x:v>
      </x:c>
      <x:c r="X84" s="2920" t="n">
        <x:f>IF(AND(ISNUMBER(L84),ISNUMBER(V84),L84&gt;0,V84&gt;0),(L84-V84)/L84,"")</x:f>
        <x:v>0.3723519881877653</x:v>
      </x:c>
      <x:c r="Y84" s="2959" t="n">
        <x:f>IF(AND(ISNUMBER(L84),ISNUMBER(V84),L84&gt;0,V84&gt;0),L84/V84,"")</x:f>
        <x:v>1.5932496896033457</x:v>
      </x:c>
      <x:c r="Z84" s="2920" t="n">
        <x:f>IF(AND(ISNUMBER(C84),ISNUMBER(F84),C84&gt;0,F84&gt;0),1-F84/C84,"")</x:f>
        <x:v>0.5</x:v>
      </x:c>
      <x:c r="AA84" s="2938" t="inlineStr">
        <x:is>
          <x:t xml:space="preserve">PASS</x:t>
        </x:is>
      </x:c>
      <x:c r="AB84" s="2938" t="inlineStr">
        <x:is>
          <x:t xml:space="preserve">PASS</x:t>
        </x:is>
      </x:c>
      <x:c r="AC84" s="2930" t="inlineStr">
        <x:is>
          <x:t xml:space="preserve">本轮 model-main ae058a98 + 6参数(无SoC带宽/延迟) 2026-09-26</x:t>
        </x:is>
      </x:c>
    </x:row>
    <x:row r="85" ht="20" customHeight="1">
      <x:c r="A85" s="2916" t="inlineStr">
        <x:is>
          <x:t xml:space="preserve">BF16</x:t>
        </x:is>
      </x:c>
      <x:c r="B85" s="2979" t="n">
        <x:v>128</x:v>
      </x:c>
      <x:c r="C85" s="2979" t="n">
        <x:v>256</x:v>
      </x:c>
      <x:c r="D85" s="2979" t="n">
        <x:v>7168</x:v>
      </x:c>
      <x:c r="E85" s="2979" t="n">
        <x:v>128</x:v>
      </x:c>
      <x:c r="F85" s="2979" t="n">
        <x:v>256</x:v>
      </x:c>
      <x:c r="G85" s="2979" t="n">
        <x:v>64</x:v>
      </x:c>
      <x:c r="H85" s="2980" t="n">
        <x:v>16</x:v>
      </x:c>
      <x:c r="I85" s="2980" t="n">
        <x:v>32</x:v>
      </x:c>
      <x:c r="J85" s="2980" t="n">
        <x:v>48</x:v>
      </x:c>
      <x:c r="K85" s="2981" t="n">
        <x:v>128</x:v>
      </x:c>
      <x:c r="L85" s="2979" t="n">
        <x:v>69286</x:v>
      </x:c>
      <x:c r="M85" s="2920" t="n">
        <x:f>IF(AND(ISNUMBER(L85),L85&gt;0),ROUND(B85*C85*D85/4096/L85*100,1)/100,"")</x:f>
        <x:v>0.828</x:v>
      </x:c>
      <x:c r="N85" s="2979" t="n">
        <x:f>IF(OR(B85="",C85="",D85="",E85="",F85="",G85=""),"",ROUNDUP(B85/MIN(E85,128),0)*(C85/F85)*(D85/G85)*((MIN(B85,MIN(E85,128))+F85)*G85*2/1024))</x:f>
        <x:v>5376</x:v>
      </x:c>
      <x:c r="O85" s="2921" t="n">
        <x:f>IF(AND(ISNUMBER(N85),ISNUMBER(K85),K85&gt;0),N85*1024/K85,"")</x:f>
        <x:v>43008</x:v>
      </x:c>
      <x:c r="P85" s="2922" t="n">
        <x:f>IF(OR(E85="",F85="",G85=""),"",((H85+I85)*1024)/(E85*F85*G85/4096))</x:f>
        <x:v>96</x:v>
      </x:c>
      <x:c r="Q85" s="2922" t="n">
        <x:f>IF(OR(E85="",F85="",G85=""),"",(E85*F85*4)/(E85*F85*G85/4096))</x:f>
        <x:v>256</x:v>
      </x:c>
      <x:c r="R85" s="2920" t="n">
        <x:f>IF(AND(ISNUMBER(K85),K85&gt;0,ISNUMBER(P85),P85&gt;0),MIN(1,K85/P85),"")</x:f>
        <x:v>1</x:v>
      </x:c>
      <x:c r="S85" s="2920" t="n">
        <x:f>IF(AND(ISNUMBER(K85),K85&gt;0,ISNUMBER(Q85),Q85&gt;0),MIN(1,K85/Q85),"")</x:f>
        <x:v>0.5</x:v>
      </x:c>
      <x:c r="T85" s="2920" t="n">
        <x:f>IF(AND(ISNUMBER(R85),ISNUMBER(S85)),MIN(R85,S85),"")</x:f>
        <x:v>0.5</x:v>
      </x:c>
      <x:c r="U85" s="2922" t="n">
        <x:f>IF(AND(ISNUMBER(M85),ISNUMBER(T85)),(M85-T85)*100,"")</x:f>
        <x:v>32.8</x:v>
      </x:c>
      <x:c r="V85" s="2979" t="n">
        <x:v>69321</x:v>
      </x:c>
      <x:c r="W85" s="2920" t="n">
        <x:v>1.654</x:v>
      </x:c>
      <x:c r="X85" s="2920" t="n">
        <x:f>IF(AND(ISNUMBER(L85),ISNUMBER(V85),L85&gt;0,V85&gt;0),(L85-V85)/L85,"")</x:f>
        <x:v>-0.0005051525560719338</x:v>
      </x:c>
      <x:c r="Y85" s="2959" t="n">
        <x:f>IF(AND(ISNUMBER(L85),ISNUMBER(V85),L85&gt;0,V85&gt;0),L85/V85,"")</x:f>
        <x:v>0.9994951024941937</x:v>
      </x:c>
      <x:c r="Z85" s="2920" t="n">
        <x:f>IF(AND(ISNUMBER(C85),ISNUMBER(F85),C85&gt;0,F85&gt;0),1-F85/C85,"")</x:f>
        <x:v>0</x:v>
      </x:c>
      <x:c r="AA85" s="2938" t="inlineStr">
        <x:is>
          <x:t xml:space="preserve">PASS</x:t>
        </x:is>
      </x:c>
      <x:c r="AB85" s="2938" t="inlineStr">
        <x:is>
          <x:t xml:space="preserve">PASS</x:t>
        </x:is>
      </x:c>
      <x:c r="AC85" s="2930" t="inlineStr">
        <x:is>
          <x:t xml:space="preserve">本轮 model-main ae058a98 + 6参数(无SoC带宽/延迟) 2026-09-26</x:t>
        </x:is>
      </x:c>
    </x:row>
    <x:row r="86" ht="20" customHeight="1">
      <x:c r="A86" s="2916" t="inlineStr">
        <x:is>
          <x:t xml:space="preserve">BF16</x:t>
        </x:is>
      </x:c>
      <x:c r="B86" s="2979" t="n">
        <x:v>128</x:v>
      </x:c>
      <x:c r="C86" s="2979" t="n">
        <x:v>256</x:v>
      </x:c>
      <x:c r="D86" s="2979" t="n">
        <x:v>7168</x:v>
      </x:c>
      <x:c r="E86" s="2979" t="n">
        <x:v>128</x:v>
      </x:c>
      <x:c r="F86" s="2979" t="n">
        <x:v>256</x:v>
      </x:c>
      <x:c r="G86" s="2979" t="n">
        <x:v>128</x:v>
      </x:c>
      <x:c r="H86" s="2980" t="n">
        <x:v>32</x:v>
      </x:c>
      <x:c r="I86" s="2980" t="n">
        <x:v>64</x:v>
      </x:c>
      <x:c r="J86" s="2980" t="n">
        <x:v>96</x:v>
      </x:c>
      <x:c r="K86" s="2981" t="n">
        <x:v>128</x:v>
      </x:c>
      <x:c r="L86" s="2979" t="n">
        <x:v>70701</x:v>
      </x:c>
      <x:c r="M86" s="2920" t="n">
        <x:f>IF(AND(ISNUMBER(L86),L86&gt;0),ROUND(B86*C86*D86/4096/L86*100,1)/100,"")</x:f>
        <x:v>0.8109999999999999</x:v>
      </x:c>
      <x:c r="N86" s="2979" t="n">
        <x:f>IF(OR(B86="",C86="",D86="",E86="",F86="",G86=""),"",ROUNDUP(B86/MIN(E86,128),0)*(C86/F86)*(D86/G86)*((MIN(B86,MIN(E86,128))+F86)*G86*2/1024))</x:f>
        <x:v>5376</x:v>
      </x:c>
      <x:c r="O86" s="2921" t="n">
        <x:f>IF(AND(ISNUMBER(N86),ISNUMBER(K86),K86&gt;0),N86*1024/K86,"")</x:f>
        <x:v>43008</x:v>
      </x:c>
      <x:c r="P86" s="2922" t="n">
        <x:f>IF(OR(E86="",F86="",G86=""),"",((H86+I86)*1024)/(E86*F86*G86/4096))</x:f>
        <x:v>96</x:v>
      </x:c>
      <x:c r="Q86" s="2922" t="n">
        <x:f>IF(OR(E86="",F86="",G86=""),"",(E86*F86*4)/(E86*F86*G86/4096))</x:f>
        <x:v>128</x:v>
      </x:c>
      <x:c r="R86" s="2920" t="n">
        <x:f>IF(AND(ISNUMBER(K86),K86&gt;0,ISNUMBER(P86),P86&gt;0),MIN(1,K86/P86),"")</x:f>
        <x:v>1</x:v>
      </x:c>
      <x:c r="S86" s="2920" t="n">
        <x:f>IF(AND(ISNUMBER(K86),K86&gt;0,ISNUMBER(Q86),Q86&gt;0),MIN(1,K86/Q86),"")</x:f>
        <x:v>1</x:v>
      </x:c>
      <x:c r="T86" s="2920" t="n">
        <x:f>IF(AND(ISNUMBER(R86),ISNUMBER(S86)),MIN(R86,S86),"")</x:f>
        <x:v>1</x:v>
      </x:c>
      <x:c r="U86" s="2922" t="n">
        <x:f>IF(AND(ISNUMBER(M86),ISNUMBER(T86)),(M86-T86)*100,"")</x:f>
        <x:v>-18.900000000000006</x:v>
      </x:c>
      <x:c r="V86" s="2979" t="n">
        <x:v>64925</x:v>
      </x:c>
      <x:c r="W86" s="2920" t="n">
        <x:v>1.766</x:v>
      </x:c>
      <x:c r="X86" s="2920" t="n">
        <x:f>IF(AND(ISNUMBER(L86),ISNUMBER(V86),L86&gt;0,V86&gt;0),(L86-V86)/L86,"")</x:f>
        <x:v>0.08169615705577007</x:v>
      </x:c>
      <x:c r="Y86" s="2959" t="n">
        <x:f>IF(AND(ISNUMBER(L86),ISNUMBER(V86),L86&gt;0,V86&gt;0),L86/V86,"")</x:f>
        <x:v>1.0889641894493647</x:v>
      </x:c>
      <x:c r="Z86" s="2920" t="n">
        <x:f>IF(AND(ISNUMBER(C86),ISNUMBER(F86),C86&gt;0,F86&gt;0),1-F86/C86,"")</x:f>
        <x:v>0</x:v>
      </x:c>
      <x:c r="AA86" s="2938" t="inlineStr">
        <x:is>
          <x:t xml:space="preserve">PASS</x:t>
        </x:is>
      </x:c>
      <x:c r="AB86" s="2938" t="inlineStr">
        <x:is>
          <x:t xml:space="preserve">PASS</x:t>
        </x:is>
      </x:c>
      <x:c r="AC86" s="2930" t="inlineStr">
        <x:is>
          <x:t xml:space="preserve">本轮 model-main ae058a98 + 6参数(无SoC带宽/延迟) 2026-09-26</x:t>
        </x:is>
      </x:c>
    </x:row>
    <x:row r="87" ht="20" customHeight="1">
      <x:c r="A87" s="2916" t="inlineStr">
        <x:is>
          <x:t xml:space="preserve">BF16</x:t>
        </x:is>
      </x:c>
      <x:c r="B87" s="2979" t="n">
        <x:v>128</x:v>
      </x:c>
      <x:c r="C87" s="2979" t="n">
        <x:v>256</x:v>
      </x:c>
      <x:c r="D87" s="2979" t="n">
        <x:v>7168</x:v>
      </x:c>
      <x:c r="E87" s="2979" t="n">
        <x:v>128</x:v>
      </x:c>
      <x:c r="F87" s="2979" t="n">
        <x:v>256</x:v>
      </x:c>
      <x:c r="G87" s="2979" t="n">
        <x:v>256</x:v>
      </x:c>
      <x:c r="H87" s="2980" t="n">
        <x:v>64</x:v>
      </x:c>
      <x:c r="I87" s="2980" t="n">
        <x:v>128</x:v>
      </x:c>
      <x:c r="J87" s="2980" t="n">
        <x:v>192</x:v>
      </x:c>
      <x:c r="K87" s="2981" t="n">
        <x:v>128</x:v>
      </x:c>
      <x:c r="L87" s="2979" t="n">
        <x:v>124685</x:v>
      </x:c>
      <x:c r="M87" s="2920" t="n">
        <x:f>IF(AND(ISNUMBER(L87),L87&gt;0),ROUND(B87*C87*D87/4096/L87*100,1)/100,"")</x:f>
        <x:v>0.46</x:v>
      </x:c>
      <x:c r="N87" s="2979" t="n">
        <x:f>IF(OR(B87="",C87="",D87="",E87="",F87="",G87=""),"",ROUNDUP(B87/MIN(E87,128),0)*(C87/F87)*(D87/G87)*((MIN(B87,MIN(E87,128))+F87)*G87*2/1024))</x:f>
        <x:v>5376</x:v>
      </x:c>
      <x:c r="O87" s="2921" t="n">
        <x:f>IF(AND(ISNUMBER(N87),ISNUMBER(K87),K87&gt;0),N87*1024/K87,"")</x:f>
        <x:v>43008</x:v>
      </x:c>
      <x:c r="P87" s="2922" t="n">
        <x:f>IF(OR(E87="",F87="",G87=""),"",((H87+I87)*1024)/(E87*F87*G87/4096))</x:f>
        <x:v>96</x:v>
      </x:c>
      <x:c r="Q87" s="2922" t="n">
        <x:f>IF(OR(E87="",F87="",G87=""),"",(E87*F87*4)/(E87*F87*G87/4096))</x:f>
        <x:v>64</x:v>
      </x:c>
      <x:c r="R87" s="2920" t="n">
        <x:f>IF(AND(ISNUMBER(K87),K87&gt;0,ISNUMBER(P87),P87&gt;0),MIN(1,K87/P87),"")</x:f>
        <x:v>1</x:v>
      </x:c>
      <x:c r="S87" s="2920" t="n">
        <x:f>IF(AND(ISNUMBER(K87),K87&gt;0,ISNUMBER(Q87),Q87&gt;0),MIN(1,K87/Q87),"")</x:f>
        <x:v>1</x:v>
      </x:c>
      <x:c r="T87" s="2920" t="n">
        <x:f>IF(AND(ISNUMBER(R87),ISNUMBER(S87)),MIN(R87,S87),"")</x:f>
        <x:v>1</x:v>
      </x:c>
      <x:c r="U87" s="2922" t="n">
        <x:f>IF(AND(ISNUMBER(M87),ISNUMBER(T87)),(M87-T87)*100,"")</x:f>
        <x:v>-54</x:v>
      </x:c>
      <x:c r="V87" s="2979" t="n">
        <x:v>64336</x:v>
      </x:c>
      <x:c r="W87" s="2920" t="n">
        <x:v>1.783</x:v>
      </x:c>
      <x:c r="X87" s="2920" t="n">
        <x:f>IF(AND(ISNUMBER(L87),ISNUMBER(V87),L87&gt;0,V87&gt;0),(L87-V87)/L87,"")</x:f>
        <x:v>0.4840117095079601</x:v>
      </x:c>
      <x:c r="Y87" s="2959" t="n">
        <x:f>IF(AND(ISNUMBER(L87),ISNUMBER(V87),L87&gt;0,V87&gt;0),L87/V87,"")</x:f>
        <x:v>1.9380284755036061</x:v>
      </x:c>
      <x:c r="Z87" s="2920" t="n">
        <x:f>IF(AND(ISNUMBER(C87),ISNUMBER(F87),C87&gt;0,F87&gt;0),1-F87/C87,"")</x:f>
        <x:v>0</x:v>
      </x:c>
      <x:c r="AA87" s="2938" t="inlineStr">
        <x:is>
          <x:t xml:space="preserve">PASS</x:t>
        </x:is>
      </x:c>
      <x:c r="AB87" s="2938" t="inlineStr">
        <x:is>
          <x:t xml:space="preserve">PASS</x:t>
        </x:is>
      </x:c>
      <x:c r="AC87" s="2930" t="inlineStr">
        <x:is>
          <x:t xml:space="preserve">本轮 model-main ae058a98 + 6参数(无SoC带宽/延迟) 2026-09-26</x:t>
        </x:is>
      </x:c>
    </x:row>
    <x:row r="88" ht="20" customHeight="1">
      <x:c r="A88" s="2822" t="inlineStr">
        <x:is>
          <x:t xml:space="preserve">FP16</x:t>
        </x:is>
      </x:c>
      <x:c r="B88" s="2964" t="n"/>
      <x:c r="C88" s="2964" t="n"/>
      <x:c r="D88" s="2964" t="n"/>
      <x:c r="E88" s="2964" t="n"/>
      <x:c r="F88" s="2964" t="n"/>
      <x:c r="G88" s="2964" t="n"/>
      <x:c r="H88" s="2965" t="n"/>
      <x:c r="I88" s="2965" t="n"/>
      <x:c r="J88" s="2965" t="n"/>
      <x:c r="K88" s="2966"/>
      <x:c r="L88" s="2964" t="n"/>
      <x:c r="M88" s="2826" t="str"/>
      <x:c r="N88" s="2964" t="str"/>
      <x:c r="O88" s="2827" t="str"/>
      <x:c r="P88" s="2828" t="str"/>
      <x:c r="Q88" s="2828" t="str"/>
      <x:c r="R88" s="2826" t="str"/>
      <x:c r="S88" s="2826" t="str"/>
      <x:c r="T88" s="2826" t="str"/>
      <x:c r="U88" s="2828" t="str"/>
      <x:c r="V88" s="2964" t="n"/>
      <x:c r="W88" s="2826" t="n"/>
      <x:c r="X88" s="2826" t="n"/>
      <x:c r="Y88" s="2954" t="n"/>
      <x:c r="Z88" s="2826" t="n"/>
      <x:c r="AA88" s="2822" t="n"/>
      <x:c r="AB88" s="2822" t="n"/>
      <x:c r="AC88" s="2822" t="n"/>
    </x:row>
    <x:row r="89" ht="20" customHeight="1">
      <x:c r="A89" s="2841" t="inlineStr">
        <x:is>
          <x:t xml:space="preserve">FP16</x:t>
        </x:is>
      </x:c>
      <x:c r="B89" s="2967" t="n">
        <x:v>128</x:v>
      </x:c>
      <x:c r="C89" s="2967" t="n">
        <x:v>256</x:v>
      </x:c>
      <x:c r="D89" s="2967" t="n">
        <x:v>7168</x:v>
      </x:c>
      <x:c r="E89" s="2967" t="n">
        <x:v>128</x:v>
      </x:c>
      <x:c r="F89" s="2967" t="n">
        <x:v>64</x:v>
      </x:c>
      <x:c r="G89" s="2967" t="n">
        <x:v>64</x:v>
      </x:c>
      <x:c r="H89" s="2968" t="n">
        <x:v>16</x:v>
      </x:c>
      <x:c r="I89" s="2968" t="n">
        <x:v>8</x:v>
      </x:c>
      <x:c r="J89" s="2968" t="n">
        <x:v>24</x:v>
      </x:c>
      <x:c r="K89" s="2969" t="n">
        <x:v>128</x:v>
      </x:c>
      <x:c r="L89" s="2967" t="n">
        <x:v>135311</x:v>
      </x:c>
      <x:c r="M89" s="2845" t="n">
        <x:f>IF(AND(ISNUMBER(L89),L89&gt;0),ROUND(B89*C89*D89/4096/L89*100,1)/100,"")</x:f>
        <x:v>0.424</x:v>
      </x:c>
      <x:c r="N89" s="2967" t="n">
        <x:f>IF(OR(B89="",C89="",D89="",E89="",F89="",G89=""),"",ROUNDUP(B89/MIN(E89,128),0)*(C89/F89)*(D89/G89)*((MIN(B89,MIN(E89,128))+F89)*G89*2/1024))</x:f>
        <x:v>10752</x:v>
      </x:c>
      <x:c r="O89" s="2846" t="n">
        <x:f>IF(AND(ISNUMBER(N89),ISNUMBER(K89),K89&gt;0),N89*1024/K89,"")</x:f>
        <x:v>86016</x:v>
      </x:c>
      <x:c r="P89" s="2847" t="n">
        <x:f>IF(OR(E89="",F89="",G89=""),"",((H89+I89)*1024)/(E89*F89*G89/4096))</x:f>
        <x:v>192</x:v>
      </x:c>
      <x:c r="Q89" s="2847" t="n">
        <x:f>IF(OR(E89="",F89="",G89=""),"",(E89*F89*4)/(E89*F89*G89/4096))</x:f>
        <x:v>256</x:v>
      </x:c>
      <x:c r="R89" s="2845" t="n">
        <x:f>IF(AND(ISNUMBER(K89),K89&gt;0,ISNUMBER(P89),P89&gt;0),MIN(1,K89/P89),"")</x:f>
        <x:v>0.6666666666666666</x:v>
      </x:c>
      <x:c r="S89" s="2845" t="n">
        <x:f>IF(AND(ISNUMBER(K89),K89&gt;0,ISNUMBER(Q89),Q89&gt;0),MIN(1,K89/Q89),"")</x:f>
        <x:v>0.5</x:v>
      </x:c>
      <x:c r="T89" s="2845" t="n">
        <x:f>IF(AND(ISNUMBER(R89),ISNUMBER(S89)),MIN(R89,S89),"")</x:f>
        <x:v>0.5</x:v>
      </x:c>
      <x:c r="U89" s="2847" t="n">
        <x:f>IF(AND(ISNUMBER(M89),ISNUMBER(T89)),(M89-T89)*100,"")</x:f>
        <x:v>-7.600000000000001</x:v>
      </x:c>
      <x:c r="V89" s="2967" t="n">
        <x:v>68489</x:v>
      </x:c>
      <x:c r="W89" s="2845" t="n">
        <x:v>1.675</x:v>
      </x:c>
      <x:c r="X89" s="2845" t="n">
        <x:f>IF(AND(ISNUMBER(L89),ISNUMBER(V89),L89&gt;0,V89&gt;0),(L89-V89)/L89,"")</x:f>
        <x:v>0.49384011647242276</x:v>
      </x:c>
      <x:c r="Y89" s="2955" t="n">
        <x:f>IF(AND(ISNUMBER(L89),ISNUMBER(V89),L89&gt;0,V89&gt;0),L89/V89,"")</x:f>
        <x:v>1.9756603250156959</x:v>
      </x:c>
      <x:c r="Z89" s="2845" t="n">
        <x:f>IF(AND(ISNUMBER(C89),ISNUMBER(F89),C89&gt;0,F89&gt;0),1-F89/C89,"")</x:f>
        <x:v>0.75</x:v>
      </x:c>
      <x:c r="AA89" s="2931" t="inlineStr">
        <x:is>
          <x:t xml:space="preserve">PASS</x:t>
        </x:is>
      </x:c>
      <x:c r="AB89" s="2931" t="inlineStr">
        <x:is>
          <x:t xml:space="preserve">PASS</x:t>
        </x:is>
      </x:c>
      <x:c r="AC89" s="2855" t="inlineStr">
        <x:is>
          <x:t xml:space="preserve">本轮 model-main ae058a98 + 6参数(无SoC带宽/延迟) 2026-09-26</x:t>
        </x:is>
      </x:c>
    </x:row>
    <x:row r="90" ht="20" customHeight="1">
      <x:c r="A90" s="2992" t="inlineStr">
        <x:is>
          <x:t xml:space="preserve">FP16</x:t>
        </x:is>
      </x:c>
      <x:c r="B90" s="2993" t="n">
        <x:v>128</x:v>
      </x:c>
      <x:c r="C90" s="2993" t="n">
        <x:v>256</x:v>
      </x:c>
      <x:c r="D90" s="2993" t="n">
        <x:v>7168</x:v>
      </x:c>
      <x:c r="E90" s="2993" t="n">
        <x:v>128</x:v>
      </x:c>
      <x:c r="F90" s="2993" t="n">
        <x:v>64</x:v>
      </x:c>
      <x:c r="G90" s="2993" t="n">
        <x:v>128</x:v>
      </x:c>
      <x:c r="H90" s="2994" t="n">
        <x:v>32</x:v>
      </x:c>
      <x:c r="I90" s="2994" t="n">
        <x:v>16</x:v>
      </x:c>
      <x:c r="J90" s="2994" t="n">
        <x:v>48</x:v>
      </x:c>
      <x:c r="K90" s="2995" t="n">
        <x:v>128</x:v>
      </x:c>
      <x:c r="L90" s="2993" t="n">
        <x:v>135601</x:v>
      </x:c>
      <x:c r="M90" s="2996" t="n">
        <x:f>IF(AND(ISNUMBER(L90),L90&gt;0),ROUND(B90*C90*D90/4096/L90*100,1)/100,"")</x:f>
        <x:v>0.423</x:v>
      </x:c>
      <x:c r="N90" s="2993" t="n">
        <x:f>IF(OR(B90="",C90="",D90="",E90="",F90="",G90=""),"",ROUNDUP(B90/MIN(E90,128),0)*(C90/F90)*(D90/G90)*((MIN(B90,MIN(E90,128))+F90)*G90*2/1024))</x:f>
        <x:v>10752</x:v>
      </x:c>
      <x:c r="O90" s="2997" t="n">
        <x:f>IF(AND(ISNUMBER(N90),ISNUMBER(K90),K90&gt;0),N90*1024/K90,"")</x:f>
        <x:v>86016</x:v>
      </x:c>
      <x:c r="P90" s="2998" t="n">
        <x:f>IF(OR(E90="",F90="",G90=""),"",((H90+I90)*1024)/(E90*F90*G90/4096))</x:f>
        <x:v>192</x:v>
      </x:c>
      <x:c r="Q90" s="2998" t="n">
        <x:f>IF(OR(E90="",F90="",G90=""),"",(E90*F90*4)/(E90*F90*G90/4096))</x:f>
        <x:v>128</x:v>
      </x:c>
      <x:c r="R90" s="2996" t="n">
        <x:f>IF(AND(ISNUMBER(K90),K90&gt;0,ISNUMBER(P90),P90&gt;0),MIN(1,K90/P90),"")</x:f>
        <x:v>0.6666666666666666</x:v>
      </x:c>
      <x:c r="S90" s="2996" t="n">
        <x:f>IF(AND(ISNUMBER(K90),K90&gt;0,ISNUMBER(Q90),Q90&gt;0),MIN(1,K90/Q90),"")</x:f>
        <x:v>1</x:v>
      </x:c>
      <x:c r="T90" s="2996" t="n">
        <x:f>IF(AND(ISNUMBER(R90),ISNUMBER(S90)),MIN(R90,S90),"")</x:f>
        <x:v>0.6666666666666666</x:v>
      </x:c>
      <x:c r="U90" s="2998" t="n">
        <x:f>IF(AND(ISNUMBER(M90),ISNUMBER(T90)),(M90-T90)*100,"")</x:f>
        <x:v>-24.366666666666664</x:v>
      </x:c>
      <x:c r="V90" s="2993" t="n">
        <x:v>59839</x:v>
      </x:c>
      <x:c r="W90" s="2996" t="n">
        <x:v>1.917</x:v>
      </x:c>
      <x:c r="X90" s="2996" t="n">
        <x:f>IF(AND(ISNUMBER(L90),ISNUMBER(V90),L90&gt;0,V90&gt;0),(L90-V90)/L90,"")</x:f>
        <x:v>0.5587126938591899</x:v>
      </x:c>
      <x:c r="Y90" s="2999" t="n">
        <x:f>IF(AND(ISNUMBER(L90),ISNUMBER(V90),L90&gt;0,V90&gt;0),L90/V90,"")</x:f>
        <x:v>2.2660973612526947</x:v>
      </x:c>
      <x:c r="Z90" s="2996" t="n">
        <x:f>IF(AND(ISNUMBER(C90),ISNUMBER(F90),C90&gt;0,F90&gt;0),1-F90/C90,"")</x:f>
        <x:v>0.75</x:v>
      </x:c>
      <x:c r="AA90" s="3000" t="inlineStr">
        <x:is>
          <x:t xml:space="preserve">PASS</x:t>
        </x:is>
      </x:c>
      <x:c r="AB90" s="3000" t="inlineStr">
        <x:is>
          <x:t xml:space="preserve">PASS</x:t>
        </x:is>
      </x:c>
      <x:c r="AC90" s="3001" t="inlineStr">
        <x:is>
          <x:t xml:space="preserve">本轮 model-main ae058a98 + 6参数(无SoC带宽/延迟) 2026-09-26</x:t>
        </x:is>
      </x:c>
    </x:row>
    <x:row r="91" ht="20" customHeight="1">
      <x:c r="A91" s="3002" t="inlineStr">
        <x:is>
          <x:t xml:space="preserve">FP16</x:t>
        </x:is>
      </x:c>
      <x:c r="B91" s="3003" t="n">
        <x:v>128</x:v>
      </x:c>
      <x:c r="C91" s="3003" t="n">
        <x:v>256</x:v>
      </x:c>
      <x:c r="D91" s="3003" t="n">
        <x:v>7168</x:v>
      </x:c>
      <x:c r="E91" s="3003" t="n">
        <x:v>128</x:v>
      </x:c>
      <x:c r="F91" s="3003" t="n">
        <x:v>64</x:v>
      </x:c>
      <x:c r="G91" s="3003" t="n">
        <x:v>256</x:v>
      </x:c>
      <x:c r="H91" s="3004" t="n">
        <x:v>64</x:v>
      </x:c>
      <x:c r="I91" s="3004" t="n">
        <x:v>32</x:v>
      </x:c>
      <x:c r="J91" s="3004" t="n">
        <x:v>96</x:v>
      </x:c>
      <x:c r="K91" s="3005" t="n">
        <x:v>128</x:v>
      </x:c>
      <x:c r="L91" s="3003" t="n">
        <x:v>135815</x:v>
      </x:c>
      <x:c r="M91" s="3006" t="n">
        <x:f>IF(AND(ISNUMBER(L91),L91&gt;0),ROUND(B91*C91*D91/4096/L91*100,1)/100,"")</x:f>
        <x:v>0.42200000000000004</x:v>
      </x:c>
      <x:c r="N91" s="3003" t="n">
        <x:f>IF(OR(B91="",C91="",D91="",E91="",F91="",G91=""),"",ROUNDUP(B91/MIN(E91,128),0)*(C91/F91)*(D91/G91)*((MIN(B91,MIN(E91,128))+F91)*G91*2/1024))</x:f>
        <x:v>10752</x:v>
      </x:c>
      <x:c r="O91" s="3007" t="n">
        <x:f>IF(AND(ISNUMBER(N91),ISNUMBER(K91),K91&gt;0),N91*1024/K91,"")</x:f>
        <x:v>86016</x:v>
      </x:c>
      <x:c r="P91" s="3008" t="n">
        <x:f>IF(OR(E91="",F91="",G91=""),"",((H91+I91)*1024)/(E91*F91*G91/4096))</x:f>
        <x:v>192</x:v>
      </x:c>
      <x:c r="Q91" s="3008" t="n">
        <x:f>IF(OR(E91="",F91="",G91=""),"",(E91*F91*4)/(E91*F91*G91/4096))</x:f>
        <x:v>64</x:v>
      </x:c>
      <x:c r="R91" s="3006" t="n">
        <x:f>IF(AND(ISNUMBER(K91),K91&gt;0,ISNUMBER(P91),P91&gt;0),MIN(1,K91/P91),"")</x:f>
        <x:v>0.6666666666666666</x:v>
      </x:c>
      <x:c r="S91" s="3006" t="n">
        <x:f>IF(AND(ISNUMBER(K91),K91&gt;0,ISNUMBER(Q91),Q91&gt;0),MIN(1,K91/Q91),"")</x:f>
        <x:v>1</x:v>
      </x:c>
      <x:c r="T91" s="3006" t="n">
        <x:f>IF(AND(ISNUMBER(R91),ISNUMBER(S91)),MIN(R91,S91),"")</x:f>
        <x:v>0.6666666666666666</x:v>
      </x:c>
      <x:c r="U91" s="3008" t="n">
        <x:f>IF(AND(ISNUMBER(M91),ISNUMBER(T91)),(M91-T91)*100,"")</x:f>
        <x:v>-24.466666666666658</x:v>
      </x:c>
      <x:c r="V91" s="3003" t="n">
        <x:v>59820</x:v>
      </x:c>
      <x:c r="W91" s="3006" t="n">
        <x:v>1.917</x:v>
      </x:c>
      <x:c r="X91" s="3006" t="n">
        <x:f>IF(AND(ISNUMBER(L91),ISNUMBER(V91),L91&gt;0,V91&gt;0),(L91-V91)/L91,"")</x:f>
        <x:v>0.5595479144424401</x:v>
      </x:c>
      <x:c r="Y91" s="3009" t="n">
        <x:f>IF(AND(ISNUMBER(L91),ISNUMBER(V91),L91&gt;0,V91&gt;0),L91/V91,"")</x:f>
        <x:v>2.2703945168839854</x:v>
      </x:c>
      <x:c r="Z91" s="3006" t="n">
        <x:f>IF(AND(ISNUMBER(C91),ISNUMBER(F91),C91&gt;0,F91&gt;0),1-F91/C91,"")</x:f>
        <x:v>0.75</x:v>
      </x:c>
      <x:c r="AA91" s="3010" t="inlineStr">
        <x:is>
          <x:t xml:space="preserve">PASS</x:t>
        </x:is>
      </x:c>
      <x:c r="AB91" s="3010" t="inlineStr">
        <x:is>
          <x:t xml:space="preserve">PASS</x:t>
        </x:is>
      </x:c>
      <x:c r="AC91" s="3011" t="inlineStr">
        <x:is>
          <x:t xml:space="preserve">本轮 model-main ae058a98 + 6参数(无SoC带宽/延迟) 2026-09-26</x:t>
        </x:is>
      </x:c>
    </x:row>
    <x:row r="92" ht="20" customHeight="1">
      <x:c r="A92" s="2841" t="inlineStr">
        <x:is>
          <x:t xml:space="preserve">FP16</x:t>
        </x:is>
      </x:c>
      <x:c r="B92" s="2967" t="n">
        <x:v>128</x:v>
      </x:c>
      <x:c r="C92" s="2967" t="n">
        <x:v>256</x:v>
      </x:c>
      <x:c r="D92" s="2967" t="n">
        <x:v>7168</x:v>
      </x:c>
      <x:c r="E92" s="2967" t="n">
        <x:v>128</x:v>
      </x:c>
      <x:c r="F92" s="2967" t="n">
        <x:v>128</x:v>
      </x:c>
      <x:c r="G92" s="2967" t="n">
        <x:v>64</x:v>
      </x:c>
      <x:c r="H92" s="2968" t="n">
        <x:v>16</x:v>
      </x:c>
      <x:c r="I92" s="2968" t="n">
        <x:v>16</x:v>
      </x:c>
      <x:c r="J92" s="2968" t="n">
        <x:v>32</x:v>
      </x:c>
      <x:c r="K92" s="2969" t="n">
        <x:v>128</x:v>
      </x:c>
      <x:c r="L92" s="2967" t="n">
        <x:v>90847</x:v>
      </x:c>
      <x:c r="M92" s="2845" t="n">
        <x:f>IF(AND(ISNUMBER(L92),L92&gt;0),ROUND(B92*C92*D92/4096/L92*100,1)/100,"")</x:f>
        <x:v>0.631</x:v>
      </x:c>
      <x:c r="N92" s="2967" t="n">
        <x:f>IF(OR(B92="",C92="",D92="",E92="",F92="",G92=""),"",ROUNDUP(B92/MIN(E92,128),0)*(C92/F92)*(D92/G92)*((MIN(B92,MIN(E92,128))+F92)*G92*2/1024))</x:f>
        <x:v>7168</x:v>
      </x:c>
      <x:c r="O92" s="2846" t="n">
        <x:f>IF(AND(ISNUMBER(N92),ISNUMBER(K92),K92&gt;0),N92*1024/K92,"")</x:f>
        <x:v>57344</x:v>
      </x:c>
      <x:c r="P92" s="2847" t="n">
        <x:f>IF(OR(E92="",F92="",G92=""),"",((H92+I92)*1024)/(E92*F92*G92/4096))</x:f>
        <x:v>128</x:v>
      </x:c>
      <x:c r="Q92" s="2847" t="n">
        <x:f>IF(OR(E92="",F92="",G92=""),"",(E92*F92*4)/(E92*F92*G92/4096))</x:f>
        <x:v>256</x:v>
      </x:c>
      <x:c r="R92" s="2845" t="n">
        <x:f>IF(AND(ISNUMBER(K92),K92&gt;0,ISNUMBER(P92),P92&gt;0),MIN(1,K92/P92),"")</x:f>
        <x:v>1</x:v>
      </x:c>
      <x:c r="S92" s="2845" t="n">
        <x:f>IF(AND(ISNUMBER(K92),K92&gt;0,ISNUMBER(Q92),Q92&gt;0),MIN(1,K92/Q92),"")</x:f>
        <x:v>0.5</x:v>
      </x:c>
      <x:c r="T92" s="2845" t="n">
        <x:f>IF(AND(ISNUMBER(R92),ISNUMBER(S92)),MIN(R92,S92),"")</x:f>
        <x:v>0.5</x:v>
      </x:c>
      <x:c r="U92" s="2847" t="n">
        <x:f>IF(AND(ISNUMBER(M92),ISNUMBER(T92)),(M92-T92)*100,"")</x:f>
        <x:v>13.100000000000001</x:v>
      </x:c>
      <x:c r="V92" s="2967" t="n">
        <x:v>68506</x:v>
      </x:c>
      <x:c r="W92" s="2845" t="n">
        <x:v>1.674</x:v>
      </x:c>
      <x:c r="X92" s="2845" t="n">
        <x:f>IF(AND(ISNUMBER(L92),ISNUMBER(V92),L92&gt;0,V92&gt;0),(L92-V92)/L92,"")</x:f>
        <x:v>0.24591896265149096</x:v>
      </x:c>
      <x:c r="Y92" s="2955" t="n">
        <x:f>IF(AND(ISNUMBER(L92),ISNUMBER(V92),L92&gt;0,V92&gt;0),L92/V92,"")</x:f>
        <x:v>1.3261174203719381</x:v>
      </x:c>
      <x:c r="Z92" s="2845" t="n">
        <x:f>IF(AND(ISNUMBER(C92),ISNUMBER(F92),C92&gt;0,F92&gt;0),1-F92/C92,"")</x:f>
        <x:v>0.5</x:v>
      </x:c>
      <x:c r="AA92" s="2931" t="inlineStr">
        <x:is>
          <x:t xml:space="preserve">PASS</x:t>
        </x:is>
      </x:c>
      <x:c r="AB92" s="2931" t="inlineStr">
        <x:is>
          <x:t xml:space="preserve">PASS</x:t>
        </x:is>
      </x:c>
      <x:c r="AC92" s="2855" t="inlineStr">
        <x:is>
          <x:t xml:space="preserve">本轮 model-main ae058a98 + 6参数(无SoC带宽/延迟) 2026-09-26</x:t>
        </x:is>
      </x:c>
    </x:row>
    <x:row r="93" ht="20" customHeight="1">
      <x:c r="A93" s="2841" t="inlineStr">
        <x:is>
          <x:t xml:space="preserve">FP16</x:t>
        </x:is>
      </x:c>
      <x:c r="B93" s="2967" t="n">
        <x:v>128</x:v>
      </x:c>
      <x:c r="C93" s="2967" t="n">
        <x:v>256</x:v>
      </x:c>
      <x:c r="D93" s="2967" t="n">
        <x:v>7168</x:v>
      </x:c>
      <x:c r="E93" s="2967" t="n">
        <x:v>128</x:v>
      </x:c>
      <x:c r="F93" s="2967" t="n">
        <x:v>128</x:v>
      </x:c>
      <x:c r="G93" s="2967" t="n">
        <x:v>128</x:v>
      </x:c>
      <x:c r="H93" s="2968" t="n">
        <x:v>32</x:v>
      </x:c>
      <x:c r="I93" s="2968" t="n">
        <x:v>32</x:v>
      </x:c>
      <x:c r="J93" s="2968" t="n">
        <x:v>64</x:v>
      </x:c>
      <x:c r="K93" s="2969" t="n">
        <x:v>128</x:v>
      </x:c>
      <x:c r="L93" s="2967" t="n">
        <x:v>91224</x:v>
      </x:c>
      <x:c r="M93" s="2845" t="n">
        <x:f>IF(AND(ISNUMBER(L93),L93&gt;0),ROUND(B93*C93*D93/4096/L93*100,1)/100,"")</x:f>
        <x:v>0.629</x:v>
      </x:c>
      <x:c r="N93" s="2967" t="n">
        <x:f>IF(OR(B93="",C93="",D93="",E93="",F93="",G93=""),"",ROUNDUP(B93/MIN(E93,128),0)*(C93/F93)*(D93/G93)*((MIN(B93,MIN(E93,128))+F93)*G93*2/1024))</x:f>
        <x:v>7168</x:v>
      </x:c>
      <x:c r="O93" s="2846" t="n">
        <x:f>IF(AND(ISNUMBER(N93),ISNUMBER(K93),K93&gt;0),N93*1024/K93,"")</x:f>
        <x:v>57344</x:v>
      </x:c>
      <x:c r="P93" s="2847" t="n">
        <x:f>IF(OR(E93="",F93="",G93=""),"",((H93+I93)*1024)/(E93*F93*G93/4096))</x:f>
        <x:v>128</x:v>
      </x:c>
      <x:c r="Q93" s="2847" t="n">
        <x:f>IF(OR(E93="",F93="",G93=""),"",(E93*F93*4)/(E93*F93*G93/4096))</x:f>
        <x:v>128</x:v>
      </x:c>
      <x:c r="R93" s="2845" t="n">
        <x:f>IF(AND(ISNUMBER(K93),K93&gt;0,ISNUMBER(P93),P93&gt;0),MIN(1,K93/P93),"")</x:f>
        <x:v>1</x:v>
      </x:c>
      <x:c r="S93" s="2845" t="n">
        <x:f>IF(AND(ISNUMBER(K93),K93&gt;0,ISNUMBER(Q93),Q93&gt;0),MIN(1,K93/Q93),"")</x:f>
        <x:v>1</x:v>
      </x:c>
      <x:c r="T93" s="2845" t="n">
        <x:f>IF(AND(ISNUMBER(R93),ISNUMBER(S93)),MIN(R93,S93),"")</x:f>
        <x:v>1</x:v>
      </x:c>
      <x:c r="U93" s="2847" t="n">
        <x:f>IF(AND(ISNUMBER(M93),ISNUMBER(T93)),(M93-T93)*100,"")</x:f>
        <x:v>-37.1</x:v>
      </x:c>
      <x:c r="V93" s="2967" t="n">
        <x:v>59884</x:v>
      </x:c>
      <x:c r="W93" s="2845" t="n">
        <x:v>1.915</x:v>
      </x:c>
      <x:c r="X93" s="2845" t="n">
        <x:f>IF(AND(ISNUMBER(L93),ISNUMBER(V93),L93&gt;0,V93&gt;0),(L93-V93)/L93,"")</x:f>
        <x:v>0.34354994299745684</x:v>
      </x:c>
      <x:c r="Y93" s="2955" t="n">
        <x:f>IF(AND(ISNUMBER(L93),ISNUMBER(V93),L93&gt;0,V93&gt;0),L93/V93,"")</x:f>
        <x:v>1.5233451339255895</x:v>
      </x:c>
      <x:c r="Z93" s="2845" t="n">
        <x:f>IF(AND(ISNUMBER(C93),ISNUMBER(F93),C93&gt;0,F93&gt;0),1-F93/C93,"")</x:f>
        <x:v>0.5</x:v>
      </x:c>
      <x:c r="AA93" s="2931" t="inlineStr">
        <x:is>
          <x:t xml:space="preserve">PASS</x:t>
        </x:is>
      </x:c>
      <x:c r="AB93" s="2931" t="inlineStr">
        <x:is>
          <x:t xml:space="preserve">PASS</x:t>
        </x:is>
      </x:c>
      <x:c r="AC93" s="2855" t="inlineStr">
        <x:is>
          <x:t xml:space="preserve">本轮 model-main ae058a98 + 6参数(无SoC带宽/延迟) 2026-09-26</x:t>
        </x:is>
      </x:c>
    </x:row>
    <x:row r="94" ht="20" customHeight="1">
      <x:c r="A94" s="2841" t="inlineStr">
        <x:is>
          <x:t xml:space="preserve">FP16</x:t>
        </x:is>
      </x:c>
      <x:c r="B94" s="2967" t="n">
        <x:v>128</x:v>
      </x:c>
      <x:c r="C94" s="2967" t="n">
        <x:v>256</x:v>
      </x:c>
      <x:c r="D94" s="2967" t="n">
        <x:v>7168</x:v>
      </x:c>
      <x:c r="E94" s="2967" t="n">
        <x:v>128</x:v>
      </x:c>
      <x:c r="F94" s="2967" t="n">
        <x:v>128</x:v>
      </x:c>
      <x:c r="G94" s="2967" t="n">
        <x:v>256</x:v>
      </x:c>
      <x:c r="H94" s="2968" t="n">
        <x:v>64</x:v>
      </x:c>
      <x:c r="I94" s="2968" t="n">
        <x:v>64</x:v>
      </x:c>
      <x:c r="J94" s="2968" t="n">
        <x:v>128</x:v>
      </x:c>
      <x:c r="K94" s="2969" t="n">
        <x:v>128</x:v>
      </x:c>
      <x:c r="L94" s="2967" t="n">
        <x:v>97526</x:v>
      </x:c>
      <x:c r="M94" s="2845" t="n">
        <x:f>IF(AND(ISNUMBER(L94),L94&gt;0),ROUND(B94*C94*D94/4096/L94*100,1)/100,"")</x:f>
        <x:v>0.588</x:v>
      </x:c>
      <x:c r="N94" s="2967" t="n">
        <x:f>IF(OR(B94="",C94="",D94="",E94="",F94="",G94=""),"",ROUNDUP(B94/MIN(E94,128),0)*(C94/F94)*(D94/G94)*((MIN(B94,MIN(E94,128))+F94)*G94*2/1024))</x:f>
        <x:v>7168</x:v>
      </x:c>
      <x:c r="O94" s="2846" t="n">
        <x:f>IF(AND(ISNUMBER(N94),ISNUMBER(K94),K94&gt;0),N94*1024/K94,"")</x:f>
        <x:v>57344</x:v>
      </x:c>
      <x:c r="P94" s="2847" t="n">
        <x:f>IF(OR(E94="",F94="",G94=""),"",((H94+I94)*1024)/(E94*F94*G94/4096))</x:f>
        <x:v>128</x:v>
      </x:c>
      <x:c r="Q94" s="2847" t="n">
        <x:f>IF(OR(E94="",F94="",G94=""),"",(E94*F94*4)/(E94*F94*G94/4096))</x:f>
        <x:v>64</x:v>
      </x:c>
      <x:c r="R94" s="2845" t="n">
        <x:f>IF(AND(ISNUMBER(K94),K94&gt;0,ISNUMBER(P94),P94&gt;0),MIN(1,K94/P94),"")</x:f>
        <x:v>1</x:v>
      </x:c>
      <x:c r="S94" s="2845" t="n">
        <x:f>IF(AND(ISNUMBER(K94),K94&gt;0,ISNUMBER(Q94),Q94&gt;0),MIN(1,K94/Q94),"")</x:f>
        <x:v>1</x:v>
      </x:c>
      <x:c r="T94" s="2845" t="n">
        <x:f>IF(AND(ISNUMBER(R94),ISNUMBER(S94)),MIN(R94,S94),"")</x:f>
        <x:v>1</x:v>
      </x:c>
      <x:c r="U94" s="2847" t="n">
        <x:f>IF(AND(ISNUMBER(M94),ISNUMBER(T94)),(M94-T94)*100,"")</x:f>
        <x:v>-41.2</x:v>
      </x:c>
      <x:c r="V94" s="2967" t="n">
        <x:v>61212</x:v>
      </x:c>
      <x:c r="W94" s="2845" t="n">
        <x:v>1.874</x:v>
      </x:c>
      <x:c r="X94" s="2845" t="n">
        <x:f>IF(AND(ISNUMBER(L94),ISNUMBER(V94),L94&gt;0,V94&gt;0),(L94-V94)/L94,"")</x:f>
        <x:v>0.3723519881877653</x:v>
      </x:c>
      <x:c r="Y94" s="2955" t="n">
        <x:f>IF(AND(ISNUMBER(L94),ISNUMBER(V94),L94&gt;0,V94&gt;0),L94/V94,"")</x:f>
        <x:v>1.5932496896033457</x:v>
      </x:c>
      <x:c r="Z94" s="2845" t="n">
        <x:f>IF(AND(ISNUMBER(C94),ISNUMBER(F94),C94&gt;0,F94&gt;0),1-F94/C94,"")</x:f>
        <x:v>0.5</x:v>
      </x:c>
      <x:c r="AA94" s="2931" t="inlineStr">
        <x:is>
          <x:t xml:space="preserve">PASS</x:t>
        </x:is>
      </x:c>
      <x:c r="AB94" s="2931" t="inlineStr">
        <x:is>
          <x:t xml:space="preserve">PASS</x:t>
        </x:is>
      </x:c>
      <x:c r="AC94" s="2855" t="inlineStr">
        <x:is>
          <x:t xml:space="preserve">本轮 model-main ae058a98 + 6参数(无SoC带宽/延迟) 2026-09-26</x:t>
        </x:is>
      </x:c>
    </x:row>
    <x:row r="95" ht="20" customHeight="1">
      <x:c r="A95" s="2841" t="inlineStr">
        <x:is>
          <x:t xml:space="preserve">FP16</x:t>
        </x:is>
      </x:c>
      <x:c r="B95" s="2967" t="n">
        <x:v>128</x:v>
      </x:c>
      <x:c r="C95" s="2967" t="n">
        <x:v>256</x:v>
      </x:c>
      <x:c r="D95" s="2967" t="n">
        <x:v>7168</x:v>
      </x:c>
      <x:c r="E95" s="2967" t="n">
        <x:v>128</x:v>
      </x:c>
      <x:c r="F95" s="2967" t="n">
        <x:v>256</x:v>
      </x:c>
      <x:c r="G95" s="2967" t="n">
        <x:v>64</x:v>
      </x:c>
      <x:c r="H95" s="2968" t="n">
        <x:v>16</x:v>
      </x:c>
      <x:c r="I95" s="2968" t="n">
        <x:v>32</x:v>
      </x:c>
      <x:c r="J95" s="2968" t="n">
        <x:v>48</x:v>
      </x:c>
      <x:c r="K95" s="2969" t="n">
        <x:v>128</x:v>
      </x:c>
      <x:c r="L95" s="2967" t="n">
        <x:v>69286</x:v>
      </x:c>
      <x:c r="M95" s="2845" t="n">
        <x:f>IF(AND(ISNUMBER(L95),L95&gt;0),ROUND(B95*C95*D95/4096/L95*100,1)/100,"")</x:f>
        <x:v>0.828</x:v>
      </x:c>
      <x:c r="N95" s="2967" t="n">
        <x:f>IF(OR(B95="",C95="",D95="",E95="",F95="",G95=""),"",ROUNDUP(B95/MIN(E95,128),0)*(C95/F95)*(D95/G95)*((MIN(B95,MIN(E95,128))+F95)*G95*2/1024))</x:f>
        <x:v>5376</x:v>
      </x:c>
      <x:c r="O95" s="2846" t="n">
        <x:f>IF(AND(ISNUMBER(N95),ISNUMBER(K95),K95&gt;0),N95*1024/K95,"")</x:f>
        <x:v>43008</x:v>
      </x:c>
      <x:c r="P95" s="2847" t="n">
        <x:f>IF(OR(E95="",F95="",G95=""),"",((H95+I95)*1024)/(E95*F95*G95/4096))</x:f>
        <x:v>96</x:v>
      </x:c>
      <x:c r="Q95" s="2847" t="n">
        <x:f>IF(OR(E95="",F95="",G95=""),"",(E95*F95*4)/(E95*F95*G95/4096))</x:f>
        <x:v>256</x:v>
      </x:c>
      <x:c r="R95" s="2845" t="n">
        <x:f>IF(AND(ISNUMBER(K95),K95&gt;0,ISNUMBER(P95),P95&gt;0),MIN(1,K95/P95),"")</x:f>
        <x:v>1</x:v>
      </x:c>
      <x:c r="S95" s="2845" t="n">
        <x:f>IF(AND(ISNUMBER(K95),K95&gt;0,ISNUMBER(Q95),Q95&gt;0),MIN(1,K95/Q95),"")</x:f>
        <x:v>0.5</x:v>
      </x:c>
      <x:c r="T95" s="2845" t="n">
        <x:f>IF(AND(ISNUMBER(R95),ISNUMBER(S95)),MIN(R95,S95),"")</x:f>
        <x:v>0.5</x:v>
      </x:c>
      <x:c r="U95" s="2847" t="n">
        <x:f>IF(AND(ISNUMBER(M95),ISNUMBER(T95)),(M95-T95)*100,"")</x:f>
        <x:v>32.8</x:v>
      </x:c>
      <x:c r="V95" s="2967" t="n">
        <x:v>69321</x:v>
      </x:c>
      <x:c r="W95" s="2845" t="n">
        <x:v>1.654</x:v>
      </x:c>
      <x:c r="X95" s="2845" t="n">
        <x:f>IF(AND(ISNUMBER(L95),ISNUMBER(V95),L95&gt;0,V95&gt;0),(L95-V95)/L95,"")</x:f>
        <x:v>-0.0005051525560719338</x:v>
      </x:c>
      <x:c r="Y95" s="2955" t="n">
        <x:f>IF(AND(ISNUMBER(L95),ISNUMBER(V95),L95&gt;0,V95&gt;0),L95/V95,"")</x:f>
        <x:v>0.9994951024941937</x:v>
      </x:c>
      <x:c r="Z95" s="2845" t="n">
        <x:f>IF(AND(ISNUMBER(C95),ISNUMBER(F95),C95&gt;0,F95&gt;0),1-F95/C95,"")</x:f>
        <x:v>0</x:v>
      </x:c>
      <x:c r="AA95" s="2931" t="inlineStr">
        <x:is>
          <x:t xml:space="preserve">PASS</x:t>
        </x:is>
      </x:c>
      <x:c r="AB95" s="2931" t="inlineStr">
        <x:is>
          <x:t xml:space="preserve">PASS</x:t>
        </x:is>
      </x:c>
      <x:c r="AC95" s="2855" t="inlineStr">
        <x:is>
          <x:t xml:space="preserve">本轮 model-main ae058a98 + 6参数(无SoC带宽/延迟) 2026-09-26</x:t>
        </x:is>
      </x:c>
    </x:row>
    <x:row r="96" ht="20" customHeight="1">
      <x:c r="A96" s="2841" t="inlineStr">
        <x:is>
          <x:t xml:space="preserve">FP16</x:t>
        </x:is>
      </x:c>
      <x:c r="B96" s="2967" t="n">
        <x:v>128</x:v>
      </x:c>
      <x:c r="C96" s="2967" t="n">
        <x:v>256</x:v>
      </x:c>
      <x:c r="D96" s="2967" t="n">
        <x:v>7168</x:v>
      </x:c>
      <x:c r="E96" s="2967" t="n">
        <x:v>128</x:v>
      </x:c>
      <x:c r="F96" s="2967" t="n">
        <x:v>256</x:v>
      </x:c>
      <x:c r="G96" s="2967" t="n">
        <x:v>128</x:v>
      </x:c>
      <x:c r="H96" s="2968" t="n">
        <x:v>32</x:v>
      </x:c>
      <x:c r="I96" s="2968" t="n">
        <x:v>64</x:v>
      </x:c>
      <x:c r="J96" s="2968" t="n">
        <x:v>96</x:v>
      </x:c>
      <x:c r="K96" s="2969" t="n">
        <x:v>128</x:v>
      </x:c>
      <x:c r="L96" s="2967" t="n">
        <x:v>70701</x:v>
      </x:c>
      <x:c r="M96" s="2845" t="n">
        <x:f>IF(AND(ISNUMBER(L96),L96&gt;0),ROUND(B96*C96*D96/4096/L96*100,1)/100,"")</x:f>
        <x:v>0.8109999999999999</x:v>
      </x:c>
      <x:c r="N96" s="2967" t="n">
        <x:f>IF(OR(B96="",C96="",D96="",E96="",F96="",G96=""),"",ROUNDUP(B96/MIN(E96,128),0)*(C96/F96)*(D96/G96)*((MIN(B96,MIN(E96,128))+F96)*G96*2/1024))</x:f>
        <x:v>5376</x:v>
      </x:c>
      <x:c r="O96" s="2846" t="n">
        <x:f>IF(AND(ISNUMBER(N96),ISNUMBER(K96),K96&gt;0),N96*1024/K96,"")</x:f>
        <x:v>43008</x:v>
      </x:c>
      <x:c r="P96" s="2847" t="n">
        <x:f>IF(OR(E96="",F96="",G96=""),"",((H96+I96)*1024)/(E96*F96*G96/4096))</x:f>
        <x:v>96</x:v>
      </x:c>
      <x:c r="Q96" s="2847" t="n">
        <x:f>IF(OR(E96="",F96="",G96=""),"",(E96*F96*4)/(E96*F96*G96/4096))</x:f>
        <x:v>128</x:v>
      </x:c>
      <x:c r="R96" s="2845" t="n">
        <x:f>IF(AND(ISNUMBER(K96),K96&gt;0,ISNUMBER(P96),P96&gt;0),MIN(1,K96/P96),"")</x:f>
        <x:v>1</x:v>
      </x:c>
      <x:c r="S96" s="2845" t="n">
        <x:f>IF(AND(ISNUMBER(K96),K96&gt;0,ISNUMBER(Q96),Q96&gt;0),MIN(1,K96/Q96),"")</x:f>
        <x:v>1</x:v>
      </x:c>
      <x:c r="T96" s="2845" t="n">
        <x:f>IF(AND(ISNUMBER(R96),ISNUMBER(S96)),MIN(R96,S96),"")</x:f>
        <x:v>1</x:v>
      </x:c>
      <x:c r="U96" s="2847" t="n">
        <x:f>IF(AND(ISNUMBER(M96),ISNUMBER(T96)),(M96-T96)*100,"")</x:f>
        <x:v>-18.900000000000006</x:v>
      </x:c>
      <x:c r="V96" s="2967" t="n">
        <x:v>64925</x:v>
      </x:c>
      <x:c r="W96" s="2845" t="n">
        <x:v>1.766</x:v>
      </x:c>
      <x:c r="X96" s="2845" t="n">
        <x:f>IF(AND(ISNUMBER(L96),ISNUMBER(V96),L96&gt;0,V96&gt;0),(L96-V96)/L96,"")</x:f>
        <x:v>0.08169615705577007</x:v>
      </x:c>
      <x:c r="Y96" s="2955" t="n">
        <x:f>IF(AND(ISNUMBER(L96),ISNUMBER(V96),L96&gt;0,V96&gt;0),L96/V96,"")</x:f>
        <x:v>1.0889641894493647</x:v>
      </x:c>
      <x:c r="Z96" s="2845" t="n">
        <x:f>IF(AND(ISNUMBER(C96),ISNUMBER(F96),C96&gt;0,F96&gt;0),1-F96/C96,"")</x:f>
        <x:v>0</x:v>
      </x:c>
      <x:c r="AA96" s="2931" t="inlineStr">
        <x:is>
          <x:t xml:space="preserve">PASS</x:t>
        </x:is>
      </x:c>
      <x:c r="AB96" s="2931" t="inlineStr">
        <x:is>
          <x:t xml:space="preserve">PASS</x:t>
        </x:is>
      </x:c>
      <x:c r="AC96" s="2855" t="inlineStr">
        <x:is>
          <x:t xml:space="preserve">本轮 model-main ae058a98 + 6参数(无SoC带宽/延迟) 2026-09-26</x:t>
        </x:is>
      </x:c>
    </x:row>
    <x:row r="97" ht="20" customHeight="1">
      <x:c r="A97" s="2841" t="inlineStr">
        <x:is>
          <x:t xml:space="preserve">FP16</x:t>
        </x:is>
      </x:c>
      <x:c r="B97" s="2967" t="n">
        <x:v>128</x:v>
      </x:c>
      <x:c r="C97" s="2967" t="n">
        <x:v>256</x:v>
      </x:c>
      <x:c r="D97" s="2967" t="n">
        <x:v>7168</x:v>
      </x:c>
      <x:c r="E97" s="2967" t="n">
        <x:v>128</x:v>
      </x:c>
      <x:c r="F97" s="2967" t="n">
        <x:v>256</x:v>
      </x:c>
      <x:c r="G97" s="2967" t="n">
        <x:v>256</x:v>
      </x:c>
      <x:c r="H97" s="2968" t="n">
        <x:v>64</x:v>
      </x:c>
      <x:c r="I97" s="2968" t="n">
        <x:v>128</x:v>
      </x:c>
      <x:c r="J97" s="2968" t="n">
        <x:v>192</x:v>
      </x:c>
      <x:c r="K97" s="2969" t="n">
        <x:v>128</x:v>
      </x:c>
      <x:c r="L97" s="2967" t="n">
        <x:v>124685</x:v>
      </x:c>
      <x:c r="M97" s="2845" t="n">
        <x:f>IF(AND(ISNUMBER(L97),L97&gt;0),ROUND(B97*C97*D97/4096/L97*100,1)/100,"")</x:f>
        <x:v>0.46</x:v>
      </x:c>
      <x:c r="N97" s="2967" t="n">
        <x:f>IF(OR(B97="",C97="",D97="",E97="",F97="",G97=""),"",ROUNDUP(B97/MIN(E97,128),0)*(C97/F97)*(D97/G97)*((MIN(B97,MIN(E97,128))+F97)*G97*2/1024))</x:f>
        <x:v>5376</x:v>
      </x:c>
      <x:c r="O97" s="2846" t="n">
        <x:f>IF(AND(ISNUMBER(N97),ISNUMBER(K97),K97&gt;0),N97*1024/K97,"")</x:f>
        <x:v>43008</x:v>
      </x:c>
      <x:c r="P97" s="2847" t="n">
        <x:f>IF(OR(E97="",F97="",G97=""),"",((H97+I97)*1024)/(E97*F97*G97/4096))</x:f>
        <x:v>96</x:v>
      </x:c>
      <x:c r="Q97" s="2847" t="n">
        <x:f>IF(OR(E97="",F97="",G97=""),"",(E97*F97*4)/(E97*F97*G97/4096))</x:f>
        <x:v>64</x:v>
      </x:c>
      <x:c r="R97" s="2845" t="n">
        <x:f>IF(AND(ISNUMBER(K97),K97&gt;0,ISNUMBER(P97),P97&gt;0),MIN(1,K97/P97),"")</x:f>
        <x:v>1</x:v>
      </x:c>
      <x:c r="S97" s="2845" t="n">
        <x:f>IF(AND(ISNUMBER(K97),K97&gt;0,ISNUMBER(Q97),Q97&gt;0),MIN(1,K97/Q97),"")</x:f>
        <x:v>1</x:v>
      </x:c>
      <x:c r="T97" s="2845" t="n">
        <x:f>IF(AND(ISNUMBER(R97),ISNUMBER(S97)),MIN(R97,S97),"")</x:f>
        <x:v>1</x:v>
      </x:c>
      <x:c r="U97" s="2847" t="n">
        <x:f>IF(AND(ISNUMBER(M97),ISNUMBER(T97)),(M97-T97)*100,"")</x:f>
        <x:v>-54</x:v>
      </x:c>
      <x:c r="V97" s="2967" t="n">
        <x:v>64336</x:v>
      </x:c>
      <x:c r="W97" s="2845" t="n">
        <x:v>1.783</x:v>
      </x:c>
      <x:c r="X97" s="2845" t="n">
        <x:f>IF(AND(ISNUMBER(L97),ISNUMBER(V97),L97&gt;0,V97&gt;0),(L97-V97)/L97,"")</x:f>
        <x:v>0.4840117095079601</x:v>
      </x:c>
      <x:c r="Y97" s="2955" t="n">
        <x:f>IF(AND(ISNUMBER(L97),ISNUMBER(V97),L97&gt;0,V97&gt;0),L97/V97,"")</x:f>
        <x:v>1.9380284755036061</x:v>
      </x:c>
      <x:c r="Z97" s="2845" t="n">
        <x:f>IF(AND(ISNUMBER(C97),ISNUMBER(F97),C97&gt;0,F97&gt;0),1-F97/C97,"")</x:f>
        <x:v>0</x:v>
      </x:c>
      <x:c r="AA97" s="2931" t="inlineStr">
        <x:is>
          <x:t xml:space="preserve">PASS</x:t>
        </x:is>
      </x:c>
      <x:c r="AB97" s="2931" t="inlineStr">
        <x:is>
          <x:t xml:space="preserve">PASS</x:t>
        </x:is>
      </x:c>
      <x:c r="AC97" s="2855" t="inlineStr">
        <x:is>
          <x:t xml:space="preserve">本轮 model-main ae058a98 + 6参数(无SoC带宽/延迟) 2026-09-26</x:t>
        </x:is>
      </x:c>
    </x:row>
    <x:row r="98" ht="20" customHeight="1">
      <x:c r="A98" s="2822" t="inlineStr">
        <x:is>
          <x:t xml:space="preserve">FP8</x:t>
        </x:is>
      </x:c>
      <x:c r="B98" s="2964" t="n"/>
      <x:c r="C98" s="2964" t="n"/>
      <x:c r="D98" s="2964" t="n"/>
      <x:c r="E98" s="2964" t="n"/>
      <x:c r="F98" s="2964" t="n"/>
      <x:c r="G98" s="2964" t="n"/>
      <x:c r="H98" s="2965" t="n"/>
      <x:c r="I98" s="2965" t="n"/>
      <x:c r="J98" s="2965" t="n"/>
      <x:c r="K98" s="2966"/>
      <x:c r="L98" s="2964" t="n"/>
      <x:c r="M98" s="2826" t="str"/>
      <x:c r="N98" s="2964" t="str"/>
      <x:c r="O98" s="2827" t="str"/>
      <x:c r="P98" s="2828" t="str"/>
      <x:c r="Q98" s="2828" t="str"/>
      <x:c r="R98" s="2826" t="str"/>
      <x:c r="S98" s="2826" t="str"/>
      <x:c r="T98" s="2826" t="str"/>
      <x:c r="U98" s="2828" t="str"/>
      <x:c r="V98" s="2964" t="n"/>
      <x:c r="W98" s="2826" t="n"/>
      <x:c r="X98" s="2826" t="n"/>
      <x:c r="Y98" s="2954" t="n"/>
      <x:c r="Z98" s="2826" t="n"/>
      <x:c r="AA98" s="2822" t="n"/>
      <x:c r="AB98" s="2822" t="n"/>
      <x:c r="AC98" s="2822" t="n"/>
    </x:row>
    <x:row r="99" ht="20" customHeight="1">
      <x:c r="A99" s="2866" t="inlineStr">
        <x:is>
          <x:t xml:space="preserve">FP8</x:t>
        </x:is>
      </x:c>
      <x:c r="B99" s="2973" t="n">
        <x:v>128</x:v>
      </x:c>
      <x:c r="C99" s="2973" t="n">
        <x:v>256</x:v>
      </x:c>
      <x:c r="D99" s="2973" t="n">
        <x:v>7168</x:v>
      </x:c>
      <x:c r="E99" s="2973" t="n">
        <x:v>128</x:v>
      </x:c>
      <x:c r="F99" s="2973" t="n">
        <x:v>64</x:v>
      </x:c>
      <x:c r="G99" s="2973" t="n">
        <x:v>256</x:v>
      </x:c>
      <x:c r="H99" s="2974" t="n">
        <x:v>32</x:v>
      </x:c>
      <x:c r="I99" s="2974" t="n">
        <x:v>16</x:v>
      </x:c>
      <x:c r="J99" s="2974" t="n">
        <x:v>48</x:v>
      </x:c>
      <x:c r="K99" s="2975" t="n">
        <x:v>128</x:v>
      </x:c>
      <x:c r="L99" s="2973" t="n">
        <x:v>69171</x:v>
      </x:c>
      <x:c r="M99" s="2870" t="n">
        <x:f>IF(AND(ISNUMBER(L99),L99&gt;0),ROUND(B99*C99*D99/8192/L99*100,1)/100,"")</x:f>
        <x:v>0.415</x:v>
      </x:c>
      <x:c r="N99" s="2973" t="n">
        <x:f>IF(OR(B99="",C99="",D99="",E99="",F99="",G99=""),"",ROUNDUP(B99/MIN(E99,128),0)*(C99/F99)*(D99/G99)*((MIN(B99,MIN(E99,128))+F99)*G99*1/1024))</x:f>
        <x:v>5376</x:v>
      </x:c>
      <x:c r="O99" s="2871" t="n">
        <x:f>IF(AND(ISNUMBER(N99),ISNUMBER(K99),K99&gt;0),N99*1024/K99,"")</x:f>
        <x:v>43008</x:v>
      </x:c>
      <x:c r="P99" s="2872" t="n">
        <x:f>IF(OR(E99="",F99="",G99=""),"",((H99+I99)*1024)/(E99*F99*G99/8192))</x:f>
        <x:v>192</x:v>
      </x:c>
      <x:c r="Q99" s="2872" t="n">
        <x:f>IF(OR(E99="",F99="",G99=""),"",(E99*F99*4)/(E99*F99*G99/8192))</x:f>
        <x:v>128</x:v>
      </x:c>
      <x:c r="R99" s="2870" t="n">
        <x:f>IF(AND(ISNUMBER(K99),K99&gt;0,ISNUMBER(P99),P99&gt;0),MIN(1,K99/P99),"")</x:f>
        <x:v>0.6666666666666666</x:v>
      </x:c>
      <x:c r="S99" s="2870" t="n">
        <x:f>IF(AND(ISNUMBER(K99),K99&gt;0,ISNUMBER(Q99),Q99&gt;0),MIN(1,K99/Q99),"")</x:f>
        <x:v>1</x:v>
      </x:c>
      <x:c r="T99" s="2870" t="n">
        <x:f>IF(AND(ISNUMBER(R99),ISNUMBER(S99)),MIN(R99,S99),"")</x:f>
        <x:v>0.6666666666666666</x:v>
      </x:c>
      <x:c r="U99" s="2872" t="n">
        <x:f>IF(AND(ISNUMBER(M99),ISNUMBER(T99)),(M99-T99)*100,"")</x:f>
        <x:v>-25.166666666666664</x:v>
      </x:c>
      <x:c r="V99" s="2973" t="n"/>
      <x:c r="W99" s="2870" t="n"/>
      <x:c r="X99" s="2870" t="n"/>
      <x:c r="Y99" s="2957" t="n"/>
      <x:c r="Z99" s="2870" t="n"/>
      <x:c r="AA99" s="2941" t="n"/>
      <x:c r="AB99" s="2933" t="inlineStr">
        <x:is>
          <x:t xml:space="preserve">PASS</x:t>
        </x:is>
      </x:c>
      <x:c r="AC99" s="2880" t="inlineStr">
        <x:is>
          <x:t xml:space="preserve">matmul_shared_lowp（FP8）；本轮 model-main ae058a98 + 6参数(无SoC带宽/延迟) 2026-09-26</x:t>
        </x:is>
      </x:c>
    </x:row>
    <x:row r="100" ht="20" customHeight="1">
      <x:c r="A100" s="2866" t="inlineStr">
        <x:is>
          <x:t xml:space="preserve">FP8</x:t>
        </x:is>
      </x:c>
      <x:c r="B100" s="2973" t="n">
        <x:v>128</x:v>
      </x:c>
      <x:c r="C100" s="2973" t="n">
        <x:v>256</x:v>
      </x:c>
      <x:c r="D100" s="2973" t="n">
        <x:v>7168</x:v>
      </x:c>
      <x:c r="E100" s="2973" t="n">
        <x:v>128</x:v>
      </x:c>
      <x:c r="F100" s="2973" t="n">
        <x:v>64</x:v>
      </x:c>
      <x:c r="G100" s="2973" t="n">
        <x:v>512</x:v>
      </x:c>
      <x:c r="H100" s="2974" t="n">
        <x:v>64</x:v>
      </x:c>
      <x:c r="I100" s="2974" t="n">
        <x:v>32</x:v>
      </x:c>
      <x:c r="J100" s="2974" t="n">
        <x:v>96</x:v>
      </x:c>
      <x:c r="K100" s="2975" t="n">
        <x:v>128</x:v>
      </x:c>
      <x:c r="L100" s="2973" t="n">
        <x:v>69636</x:v>
      </x:c>
      <x:c r="M100" s="2870" t="n">
        <x:f>IF(AND(ISNUMBER(L100),L100&gt;0),ROUND(B100*C100*D100/8192/L100*100,1)/100,"")</x:f>
        <x:v>0.41200000000000003</x:v>
      </x:c>
      <x:c r="N100" s="2973" t="n">
        <x:f>IF(OR(B100="",C100="",D100="",E100="",F100="",G100=""),"",ROUNDUP(B100/MIN(E100,128),0)*(C100/F100)*(D100/G100)*((MIN(B100,MIN(E100,128))+F100)*G100*1/1024))</x:f>
        <x:v>5376</x:v>
      </x:c>
      <x:c r="O100" s="2871" t="n">
        <x:f>IF(AND(ISNUMBER(N100),ISNUMBER(K100),K100&gt;0),N100*1024/K100,"")</x:f>
        <x:v>43008</x:v>
      </x:c>
      <x:c r="P100" s="2872" t="n">
        <x:f>IF(OR(E100="",F100="",G100=""),"",((H100+I100)*1024)/(E100*F100*G100/8192))</x:f>
        <x:v>192</x:v>
      </x:c>
      <x:c r="Q100" s="2872" t="n">
        <x:f>IF(OR(E100="",F100="",G100=""),"",(E100*F100*4)/(E100*F100*G100/8192))</x:f>
        <x:v>64</x:v>
      </x:c>
      <x:c r="R100" s="2870" t="n">
        <x:f>IF(AND(ISNUMBER(K100),K100&gt;0,ISNUMBER(P100),P100&gt;0),MIN(1,K100/P100),"")</x:f>
        <x:v>0.6666666666666666</x:v>
      </x:c>
      <x:c r="S100" s="2870" t="n">
        <x:f>IF(AND(ISNUMBER(K100),K100&gt;0,ISNUMBER(Q100),Q100&gt;0),MIN(1,K100/Q100),"")</x:f>
        <x:v>1</x:v>
      </x:c>
      <x:c r="T100" s="2870" t="n">
        <x:f>IF(AND(ISNUMBER(R100),ISNUMBER(S100)),MIN(R100,S100),"")</x:f>
        <x:v>0.6666666666666666</x:v>
      </x:c>
      <x:c r="U100" s="2872" t="n">
        <x:f>IF(AND(ISNUMBER(M100),ISNUMBER(T100)),(M100-T100)*100,"")</x:f>
        <x:v>-25.46666666666666</x:v>
      </x:c>
      <x:c r="V100" s="2973" t="n"/>
      <x:c r="W100" s="2870" t="n"/>
      <x:c r="X100" s="2870" t="n"/>
      <x:c r="Y100" s="2957" t="n"/>
      <x:c r="Z100" s="2870" t="n"/>
      <x:c r="AA100" s="2941" t="n"/>
      <x:c r="AB100" s="2933" t="inlineStr">
        <x:is>
          <x:t xml:space="preserve">PASS</x:t>
        </x:is>
      </x:c>
      <x:c r="AC100" s="2880" t="inlineStr">
        <x:is>
          <x:t xml:space="preserve">matmul_shared_lowp（FP8）；本轮 model-main ae058a98 + 6参数(无SoC带宽/延迟) 2026-09-26</x:t>
        </x:is>
      </x:c>
    </x:row>
    <x:row r="101" ht="20" customHeight="1">
      <x:c r="A101" s="2866" t="inlineStr">
        <x:is>
          <x:t xml:space="preserve">FP8</x:t>
        </x:is>
      </x:c>
      <x:c r="B101" s="2973" t="n">
        <x:v>128</x:v>
      </x:c>
      <x:c r="C101" s="2973" t="n">
        <x:v>256</x:v>
      </x:c>
      <x:c r="D101" s="2973" t="n">
        <x:v>7168</x:v>
      </x:c>
      <x:c r="E101" s="2973" t="n">
        <x:v>128</x:v>
      </x:c>
      <x:c r="F101" s="2973" t="n">
        <x:v>64</x:v>
      </x:c>
      <x:c r="G101" s="2973" t="n">
        <x:v>1024</x:v>
      </x:c>
      <x:c r="H101" s="2974" t="n">
        <x:v>128</x:v>
      </x:c>
      <x:c r="I101" s="2974" t="n">
        <x:v>64</x:v>
      </x:c>
      <x:c r="J101" s="2974" t="n">
        <x:v>192</x:v>
      </x:c>
      <x:c r="K101" s="2975" t="n">
        <x:v>128</x:v>
      </x:c>
      <x:c r="L101" s="2973" t="n">
        <x:v>135863</x:v>
      </x:c>
      <x:c r="M101" s="2870" t="n">
        <x:f>IF(AND(ISNUMBER(L101),L101&gt;0),ROUND(B101*C101*D101/8192/L101*100,1)/100,"")</x:f>
        <x:v>0.21100000000000002</x:v>
      </x:c>
      <x:c r="N101" s="2973" t="n">
        <x:f>IF(OR(B101="",C101="",D101="",E101="",F101="",G101=""),"",ROUNDUP(B101/MIN(E101,128),0)*(C101/F101)*(D101/G101)*((MIN(B101,MIN(E101,128))+F101)*G101*1/1024))</x:f>
        <x:v>5376</x:v>
      </x:c>
      <x:c r="O101" s="2871" t="n">
        <x:f>IF(AND(ISNUMBER(N101),ISNUMBER(K101),K101&gt;0),N101*1024/K101,"")</x:f>
        <x:v>43008</x:v>
      </x:c>
      <x:c r="P101" s="2872" t="n">
        <x:f>IF(OR(E101="",F101="",G101=""),"",((H101+I101)*1024)/(E101*F101*G101/8192))</x:f>
        <x:v>192</x:v>
      </x:c>
      <x:c r="Q101" s="2872" t="n">
        <x:f>IF(OR(E101="",F101="",G101=""),"",(E101*F101*4)/(E101*F101*G101/8192))</x:f>
        <x:v>32</x:v>
      </x:c>
      <x:c r="R101" s="2870" t="n">
        <x:f>IF(AND(ISNUMBER(K101),K101&gt;0,ISNUMBER(P101),P101&gt;0),MIN(1,K101/P101),"")</x:f>
        <x:v>0.6666666666666666</x:v>
      </x:c>
      <x:c r="S101" s="2870" t="n">
        <x:f>IF(AND(ISNUMBER(K101),K101&gt;0,ISNUMBER(Q101),Q101&gt;0),MIN(1,K101/Q101),"")</x:f>
        <x:v>1</x:v>
      </x:c>
      <x:c r="T101" s="2870" t="n">
        <x:f>IF(AND(ISNUMBER(R101),ISNUMBER(S101)),MIN(R101,S101),"")</x:f>
        <x:v>0.6666666666666666</x:v>
      </x:c>
      <x:c r="U101" s="2872" t="n">
        <x:f>IF(AND(ISNUMBER(M101),ISNUMBER(T101)),(M101-T101)*100,"")</x:f>
        <x:v>-45.56666666666666</x:v>
      </x:c>
      <x:c r="V101" s="2973" t="n"/>
      <x:c r="W101" s="2870" t="n"/>
      <x:c r="X101" s="2870" t="n"/>
      <x:c r="Y101" s="2957" t="n"/>
      <x:c r="Z101" s="2870" t="n"/>
      <x:c r="AA101" s="2941" t="n"/>
      <x:c r="AB101" s="2933" t="inlineStr">
        <x:is>
          <x:t xml:space="preserve">PASS</x:t>
        </x:is>
      </x:c>
      <x:c r="AC101" s="2880" t="inlineStr">
        <x:is>
          <x:t xml:space="preserve">matmul_shared_lowp（FP8）；本轮 model-main ae058a98 + 6参数(无SoC带宽/延迟) 2026-09-26</x:t>
        </x:is>
      </x:c>
    </x:row>
    <x:row r="102" ht="20" customHeight="1">
      <x:c r="A102" s="2866" t="inlineStr">
        <x:is>
          <x:t xml:space="preserve">FP8</x:t>
        </x:is>
      </x:c>
      <x:c r="B102" s="2973" t="n">
        <x:v>128</x:v>
      </x:c>
      <x:c r="C102" s="2973" t="n">
        <x:v>256</x:v>
      </x:c>
      <x:c r="D102" s="2973" t="n">
        <x:v>7168</x:v>
      </x:c>
      <x:c r="E102" s="2973" t="n">
        <x:v>128</x:v>
      </x:c>
      <x:c r="F102" s="2973" t="n">
        <x:v>128</x:v>
      </x:c>
      <x:c r="G102" s="2973" t="n">
        <x:v>256</x:v>
      </x:c>
      <x:c r="H102" s="2974" t="n">
        <x:v>32</x:v>
      </x:c>
      <x:c r="I102" s="2974" t="n">
        <x:v>32</x:v>
      </x:c>
      <x:c r="J102" s="2974" t="n">
        <x:v>64</x:v>
      </x:c>
      <x:c r="K102" s="2975" t="n">
        <x:v>128</x:v>
      </x:c>
      <x:c r="L102" s="2973" t="n">
        <x:v>47250</x:v>
      </x:c>
      <x:c r="M102" s="2870" t="n">
        <x:f>IF(AND(ISNUMBER(L102),L102&gt;0),ROUND(B102*C102*D102/8192/L102*100,1)/100,"")</x:f>
        <x:v>0.607</x:v>
      </x:c>
      <x:c r="N102" s="2973" t="n">
        <x:f>IF(OR(B102="",C102="",D102="",E102="",F102="",G102=""),"",ROUNDUP(B102/MIN(E102,128),0)*(C102/F102)*(D102/G102)*((MIN(B102,MIN(E102,128))+F102)*G102*1/1024))</x:f>
        <x:v>3584</x:v>
      </x:c>
      <x:c r="O102" s="2871" t="n">
        <x:f>IF(AND(ISNUMBER(N102),ISNUMBER(K102),K102&gt;0),N102*1024/K102,"")</x:f>
        <x:v>28672</x:v>
      </x:c>
      <x:c r="P102" s="2872" t="n">
        <x:f>IF(OR(E102="",F102="",G102=""),"",((H102+I102)*1024)/(E102*F102*G102/8192))</x:f>
        <x:v>128</x:v>
      </x:c>
      <x:c r="Q102" s="2872" t="n">
        <x:f>IF(OR(E102="",F102="",G102=""),"",(E102*F102*4)/(E102*F102*G102/8192))</x:f>
        <x:v>128</x:v>
      </x:c>
      <x:c r="R102" s="2870" t="n">
        <x:f>IF(AND(ISNUMBER(K102),K102&gt;0,ISNUMBER(P102),P102&gt;0),MIN(1,K102/P102),"")</x:f>
        <x:v>1</x:v>
      </x:c>
      <x:c r="S102" s="2870" t="n">
        <x:f>IF(AND(ISNUMBER(K102),K102&gt;0,ISNUMBER(Q102),Q102&gt;0),MIN(1,K102/Q102),"")</x:f>
        <x:v>1</x:v>
      </x:c>
      <x:c r="T102" s="2870" t="n">
        <x:f>IF(AND(ISNUMBER(R102),ISNUMBER(S102)),MIN(R102,S102),"")</x:f>
        <x:v>1</x:v>
      </x:c>
      <x:c r="U102" s="2872" t="n">
        <x:f>IF(AND(ISNUMBER(M102),ISNUMBER(T102)),(M102-T102)*100,"")</x:f>
        <x:v>-39.300000000000004</x:v>
      </x:c>
      <x:c r="V102" s="2973" t="n"/>
      <x:c r="W102" s="2870" t="n"/>
      <x:c r="X102" s="2870" t="n"/>
      <x:c r="Y102" s="2957" t="n"/>
      <x:c r="Z102" s="2870" t="n"/>
      <x:c r="AA102" s="2941" t="n"/>
      <x:c r="AB102" s="2933" t="inlineStr">
        <x:is>
          <x:t xml:space="preserve">PASS</x:t>
        </x:is>
      </x:c>
      <x:c r="AC102" s="2880" t="inlineStr">
        <x:is>
          <x:t xml:space="preserve">matmul_shared_lowp（FP8）；本轮 model-main ae058a98 + 6参数(无SoC带宽/延迟) 2026-09-26</x:t>
        </x:is>
      </x:c>
    </x:row>
    <x:row r="103" ht="20" customHeight="1">
      <x:c r="A103" s="2866" t="inlineStr">
        <x:is>
          <x:t xml:space="preserve">FP8</x:t>
        </x:is>
      </x:c>
      <x:c r="B103" s="2973" t="n">
        <x:v>128</x:v>
      </x:c>
      <x:c r="C103" s="2973" t="n">
        <x:v>256</x:v>
      </x:c>
      <x:c r="D103" s="2973" t="n">
        <x:v>7168</x:v>
      </x:c>
      <x:c r="E103" s="2973" t="n">
        <x:v>128</x:v>
      </x:c>
      <x:c r="F103" s="2973" t="n">
        <x:v>128</x:v>
      </x:c>
      <x:c r="G103" s="2973" t="n">
        <x:v>512</x:v>
      </x:c>
      <x:c r="H103" s="2974" t="n">
        <x:v>64</x:v>
      </x:c>
      <x:c r="I103" s="2974" t="n">
        <x:v>64</x:v>
      </x:c>
      <x:c r="J103" s="2974" t="n">
        <x:v>128</x:v>
      </x:c>
      <x:c r="K103" s="2975" t="n">
        <x:v>128</x:v>
      </x:c>
      <x:c r="L103" s="2973" t="n">
        <x:v>50711</x:v>
      </x:c>
      <x:c r="M103" s="2870" t="n">
        <x:f>IF(AND(ISNUMBER(L103),L103&gt;0),ROUND(B103*C103*D103/8192/L103*100,1)/100,"")</x:f>
        <x:v>0.565</x:v>
      </x:c>
      <x:c r="N103" s="2973" t="n">
        <x:f>IF(OR(B103="",C103="",D103="",E103="",F103="",G103=""),"",ROUNDUP(B103/MIN(E103,128),0)*(C103/F103)*(D103/G103)*((MIN(B103,MIN(E103,128))+F103)*G103*1/1024))</x:f>
        <x:v>3584</x:v>
      </x:c>
      <x:c r="O103" s="2871" t="n">
        <x:f>IF(AND(ISNUMBER(N103),ISNUMBER(K103),K103&gt;0),N103*1024/K103,"")</x:f>
        <x:v>28672</x:v>
      </x:c>
      <x:c r="P103" s="2872" t="n">
        <x:f>IF(OR(E103="",F103="",G103=""),"",((H103+I103)*1024)/(E103*F103*G103/8192))</x:f>
        <x:v>128</x:v>
      </x:c>
      <x:c r="Q103" s="2872" t="n">
        <x:f>IF(OR(E103="",F103="",G103=""),"",(E103*F103*4)/(E103*F103*G103/8192))</x:f>
        <x:v>64</x:v>
      </x:c>
      <x:c r="R103" s="2870" t="n">
        <x:f>IF(AND(ISNUMBER(K103),K103&gt;0,ISNUMBER(P103),P103&gt;0),MIN(1,K103/P103),"")</x:f>
        <x:v>1</x:v>
      </x:c>
      <x:c r="S103" s="2870" t="n">
        <x:f>IF(AND(ISNUMBER(K103),K103&gt;0,ISNUMBER(Q103),Q103&gt;0),MIN(1,K103/Q103),"")</x:f>
        <x:v>1</x:v>
      </x:c>
      <x:c r="T103" s="2870" t="n">
        <x:f>IF(AND(ISNUMBER(R103),ISNUMBER(S103)),MIN(R103,S103),"")</x:f>
        <x:v>1</x:v>
      </x:c>
      <x:c r="U103" s="2872" t="n">
        <x:f>IF(AND(ISNUMBER(M103),ISNUMBER(T103)),(M103-T103)*100,"")</x:f>
        <x:v>-43.50000000000001</x:v>
      </x:c>
      <x:c r="V103" s="2973" t="n"/>
      <x:c r="W103" s="2870" t="n"/>
      <x:c r="X103" s="2870" t="n"/>
      <x:c r="Y103" s="2957" t="n"/>
      <x:c r="Z103" s="2870" t="n"/>
      <x:c r="AA103" s="2941" t="n"/>
      <x:c r="AB103" s="2933" t="inlineStr">
        <x:is>
          <x:t xml:space="preserve">PASS</x:t>
        </x:is>
      </x:c>
      <x:c r="AC103" s="2880" t="inlineStr">
        <x:is>
          <x:t xml:space="preserve">matmul_shared_lowp（FP8）；本轮 model-main ae058a98 + 6参数(无SoC带宽/延迟) 2026-09-26</x:t>
        </x:is>
      </x:c>
    </x:row>
    <x:row r="104" ht="20" customHeight="1">
      <x:c r="A104" s="2866" t="inlineStr">
        <x:is>
          <x:t xml:space="preserve">FP8</x:t>
        </x:is>
      </x:c>
      <x:c r="B104" s="2973" t="n">
        <x:v>128</x:v>
      </x:c>
      <x:c r="C104" s="2973" t="n">
        <x:v>256</x:v>
      </x:c>
      <x:c r="D104" s="2973" t="n">
        <x:v>7168</x:v>
      </x:c>
      <x:c r="E104" s="2973" t="n">
        <x:v>128</x:v>
      </x:c>
      <x:c r="F104" s="2973" t="n">
        <x:v>128</x:v>
      </x:c>
      <x:c r="G104" s="2973" t="n">
        <x:v>1024</x:v>
      </x:c>
      <x:c r="H104" s="2974" t="n">
        <x:v>128</x:v>
      </x:c>
      <x:c r="I104" s="2974" t="n">
        <x:v>128</x:v>
      </x:c>
      <x:c r="J104" s="2974" t="n">
        <x:v>256</x:v>
      </x:c>
      <x:c r="K104" s="2975" t="n">
        <x:v>128</x:v>
      </x:c>
      <x:c r="L104" s="2973" t="n">
        <x:v>94013</x:v>
      </x:c>
      <x:c r="M104" s="2870" t="n">
        <x:f>IF(AND(ISNUMBER(L104),L104&gt;0),ROUND(B104*C104*D104/8192/L104*100,1)/100,"")</x:f>
        <x:v>0.305</x:v>
      </x:c>
      <x:c r="N104" s="2973" t="n">
        <x:f>IF(OR(B104="",C104="",D104="",E104="",F104="",G104=""),"",ROUNDUP(B104/MIN(E104,128),0)*(C104/F104)*(D104/G104)*((MIN(B104,MIN(E104,128))+F104)*G104*1/1024))</x:f>
        <x:v>3584</x:v>
      </x:c>
      <x:c r="O104" s="2871" t="n">
        <x:f>IF(AND(ISNUMBER(N104),ISNUMBER(K104),K104&gt;0),N104*1024/K104,"")</x:f>
        <x:v>28672</x:v>
      </x:c>
      <x:c r="P104" s="2872" t="n">
        <x:f>IF(OR(E104="",F104="",G104=""),"",((H104+I104)*1024)/(E104*F104*G104/8192))</x:f>
        <x:v>128</x:v>
      </x:c>
      <x:c r="Q104" s="2872" t="n">
        <x:f>IF(OR(E104="",F104="",G104=""),"",(E104*F104*4)/(E104*F104*G104/8192))</x:f>
        <x:v>32</x:v>
      </x:c>
      <x:c r="R104" s="2870" t="n">
        <x:f>IF(AND(ISNUMBER(K104),K104&gt;0,ISNUMBER(P104),P104&gt;0),MIN(1,K104/P104),"")</x:f>
        <x:v>1</x:v>
      </x:c>
      <x:c r="S104" s="2870" t="n">
        <x:f>IF(AND(ISNUMBER(K104),K104&gt;0,ISNUMBER(Q104),Q104&gt;0),MIN(1,K104/Q104),"")</x:f>
        <x:v>1</x:v>
      </x:c>
      <x:c r="T104" s="2870" t="n">
        <x:f>IF(AND(ISNUMBER(R104),ISNUMBER(S104)),MIN(R104,S104),"")</x:f>
        <x:v>1</x:v>
      </x:c>
      <x:c r="U104" s="2872" t="n">
        <x:f>IF(AND(ISNUMBER(M104),ISNUMBER(T104)),(M104-T104)*100,"")</x:f>
        <x:v>-69.5</x:v>
      </x:c>
      <x:c r="V104" s="2973" t="n"/>
      <x:c r="W104" s="2870" t="n"/>
      <x:c r="X104" s="2870" t="n"/>
      <x:c r="Y104" s="2957" t="n"/>
      <x:c r="Z104" s="2870" t="n"/>
      <x:c r="AA104" s="2941" t="n"/>
      <x:c r="AB104" s="2933" t="inlineStr">
        <x:is>
          <x:t xml:space="preserve">PASS</x:t>
        </x:is>
      </x:c>
      <x:c r="AC104" s="2880" t="inlineStr">
        <x:is>
          <x:t xml:space="preserve">matmul_shared_lowp（FP8）；本轮 model-main ae058a98 + 6参数(无SoC带宽/延迟) 2026-09-26</x:t>
        </x:is>
      </x:c>
    </x:row>
    <x:row r="105" ht="20" customHeight="1">
      <x:c r="A105" s="2866" t="inlineStr">
        <x:is>
          <x:t xml:space="preserve">FP8</x:t>
        </x:is>
      </x:c>
      <x:c r="B105" s="2973" t="n">
        <x:v>128</x:v>
      </x:c>
      <x:c r="C105" s="2973" t="n">
        <x:v>256</x:v>
      </x:c>
      <x:c r="D105" s="2973" t="n">
        <x:v>7168</x:v>
      </x:c>
      <x:c r="E105" s="2973" t="n">
        <x:v>128</x:v>
      </x:c>
      <x:c r="F105" s="2973" t="n">
        <x:v>256</x:v>
      </x:c>
      <x:c r="G105" s="2973" t="n">
        <x:v>256</x:v>
      </x:c>
      <x:c r="H105" s="2974" t="n">
        <x:v>32</x:v>
      </x:c>
      <x:c r="I105" s="2974" t="n">
        <x:v>64</x:v>
      </x:c>
      <x:c r="J105" s="2974" t="n">
        <x:v>96</x:v>
      </x:c>
      <x:c r="K105" s="2975" t="n">
        <x:v>128</x:v>
      </x:c>
      <x:c r="L105" s="2973" t="n">
        <x:v>36897</x:v>
      </x:c>
      <x:c r="M105" s="2870" t="n">
        <x:f>IF(AND(ISNUMBER(L105),L105&gt;0),ROUND(B105*C105*D105/8192/L105*100,1)/100,"")</x:f>
        <x:v>0.777</x:v>
      </x:c>
      <x:c r="N105" s="2973" t="n">
        <x:f>IF(OR(B105="",C105="",D105="",E105="",F105="",G105=""),"",ROUNDUP(B105/MIN(E105,128),0)*(C105/F105)*(D105/G105)*((MIN(B105,MIN(E105,128))+F105)*G105*1/1024))</x:f>
        <x:v>2688</x:v>
      </x:c>
      <x:c r="O105" s="2871" t="n">
        <x:f>IF(AND(ISNUMBER(N105),ISNUMBER(K105),K105&gt;0),N105*1024/K105,"")</x:f>
        <x:v>21504</x:v>
      </x:c>
      <x:c r="P105" s="2872" t="n">
        <x:f>IF(OR(E105="",F105="",G105=""),"",((H105+I105)*1024)/(E105*F105*G105/8192))</x:f>
        <x:v>96</x:v>
      </x:c>
      <x:c r="Q105" s="2872" t="n">
        <x:f>IF(OR(E105="",F105="",G105=""),"",(E105*F105*4)/(E105*F105*G105/8192))</x:f>
        <x:v>128</x:v>
      </x:c>
      <x:c r="R105" s="2870" t="n">
        <x:f>IF(AND(ISNUMBER(K105),K105&gt;0,ISNUMBER(P105),P105&gt;0),MIN(1,K105/P105),"")</x:f>
        <x:v>1</x:v>
      </x:c>
      <x:c r="S105" s="2870" t="n">
        <x:f>IF(AND(ISNUMBER(K105),K105&gt;0,ISNUMBER(Q105),Q105&gt;0),MIN(1,K105/Q105),"")</x:f>
        <x:v>1</x:v>
      </x:c>
      <x:c r="T105" s="2870" t="n">
        <x:f>IF(AND(ISNUMBER(R105),ISNUMBER(S105)),MIN(R105,S105),"")</x:f>
        <x:v>1</x:v>
      </x:c>
      <x:c r="U105" s="2872" t="n">
        <x:f>IF(AND(ISNUMBER(M105),ISNUMBER(T105)),(M105-T105)*100,"")</x:f>
        <x:v>-22.299999999999997</x:v>
      </x:c>
      <x:c r="V105" s="2973" t="n"/>
      <x:c r="W105" s="2870" t="n"/>
      <x:c r="X105" s="2870" t="n"/>
      <x:c r="Y105" s="2957" t="n"/>
      <x:c r="Z105" s="2870" t="n"/>
      <x:c r="AA105" s="2941" t="n"/>
      <x:c r="AB105" s="2933" t="inlineStr">
        <x:is>
          <x:t xml:space="preserve">PASS</x:t>
        </x:is>
      </x:c>
      <x:c r="AC105" s="2880" t="inlineStr">
        <x:is>
          <x:t xml:space="preserve">matmul_shared_lowp（FP8）；本轮 model-main ae058a98 + 6参数(无SoC带宽/延迟) 2026-09-26</x:t>
        </x:is>
      </x:c>
    </x:row>
    <x:row r="106" ht="20" customHeight="1">
      <x:c r="A106" s="2866" t="inlineStr">
        <x:is>
          <x:t xml:space="preserve">FP8</x:t>
        </x:is>
      </x:c>
      <x:c r="B106" s="2973" t="n">
        <x:v>128</x:v>
      </x:c>
      <x:c r="C106" s="2973" t="n">
        <x:v>256</x:v>
      </x:c>
      <x:c r="D106" s="2973" t="n">
        <x:v>7168</x:v>
      </x:c>
      <x:c r="E106" s="2973" t="n">
        <x:v>128</x:v>
      </x:c>
      <x:c r="F106" s="2973" t="n">
        <x:v>256</x:v>
      </x:c>
      <x:c r="G106" s="2973" t="n">
        <x:v>512</x:v>
      </x:c>
      <x:c r="H106" s="2974" t="n">
        <x:v>64</x:v>
      </x:c>
      <x:c r="I106" s="2974" t="n">
        <x:v>128</x:v>
      </x:c>
      <x:c r="J106" s="2974" t="n">
        <x:v>192</x:v>
      </x:c>
      <x:c r="K106" s="2975" t="n">
        <x:v>128</x:v>
      </x:c>
      <x:c r="L106" s="2973" t="n">
        <x:v>63365</x:v>
      </x:c>
      <x:c r="M106" s="2870" t="n">
        <x:f>IF(AND(ISNUMBER(L106),L106&gt;0),ROUND(B106*C106*D106/8192/L106*100,1)/100,"")</x:f>
        <x:v>0.452</x:v>
      </x:c>
      <x:c r="N106" s="2973" t="n">
        <x:f>IF(OR(B106="",C106="",D106="",E106="",F106="",G106=""),"",ROUNDUP(B106/MIN(E106,128),0)*(C106/F106)*(D106/G106)*((MIN(B106,MIN(E106,128))+F106)*G106*1/1024))</x:f>
        <x:v>2688</x:v>
      </x:c>
      <x:c r="O106" s="2871" t="n">
        <x:f>IF(AND(ISNUMBER(N106),ISNUMBER(K106),K106&gt;0),N106*1024/K106,"")</x:f>
        <x:v>21504</x:v>
      </x:c>
      <x:c r="P106" s="2872" t="n">
        <x:f>IF(OR(E106="",F106="",G106=""),"",((H106+I106)*1024)/(E106*F106*G106/8192))</x:f>
        <x:v>96</x:v>
      </x:c>
      <x:c r="Q106" s="2872" t="n">
        <x:f>IF(OR(E106="",F106="",G106=""),"",(E106*F106*4)/(E106*F106*G106/8192))</x:f>
        <x:v>64</x:v>
      </x:c>
      <x:c r="R106" s="2870" t="n">
        <x:f>IF(AND(ISNUMBER(K106),K106&gt;0,ISNUMBER(P106),P106&gt;0),MIN(1,K106/P106),"")</x:f>
        <x:v>1</x:v>
      </x:c>
      <x:c r="S106" s="2870" t="n">
        <x:f>IF(AND(ISNUMBER(K106),K106&gt;0,ISNUMBER(Q106),Q106&gt;0),MIN(1,K106/Q106),"")</x:f>
        <x:v>1</x:v>
      </x:c>
      <x:c r="T106" s="2870" t="n">
        <x:f>IF(AND(ISNUMBER(R106),ISNUMBER(S106)),MIN(R106,S106),"")</x:f>
        <x:v>1</x:v>
      </x:c>
      <x:c r="U106" s="2872" t="n">
        <x:f>IF(AND(ISNUMBER(M106),ISNUMBER(T106)),(M106-T106)*100,"")</x:f>
        <x:v>-54.800000000000004</x:v>
      </x:c>
      <x:c r="V106" s="2973" t="n"/>
      <x:c r="W106" s="2870" t="n"/>
      <x:c r="X106" s="2870" t="n"/>
      <x:c r="Y106" s="2957" t="n"/>
      <x:c r="Z106" s="2870" t="n"/>
      <x:c r="AA106" s="2941" t="n"/>
      <x:c r="AB106" s="2933" t="inlineStr">
        <x:is>
          <x:t xml:space="preserve">PASS</x:t>
        </x:is>
      </x:c>
      <x:c r="AC106" s="2880" t="inlineStr">
        <x:is>
          <x:t xml:space="preserve">matmul_shared_lowp（FP8）；本轮 model-main ae058a98 + 6参数(无SoC带宽/延迟) 2026-09-26</x:t>
        </x:is>
      </x:c>
    </x:row>
    <x:row r="107" ht="20" customHeight="1">
      <x:c r="A107" s="2866" t="inlineStr">
        <x:is>
          <x:t xml:space="preserve">FP8</x:t>
        </x:is>
      </x:c>
      <x:c r="B107" s="2973" t="n">
        <x:v>128</x:v>
      </x:c>
      <x:c r="C107" s="2973" t="n">
        <x:v>256</x:v>
      </x:c>
      <x:c r="D107" s="2973" t="n">
        <x:v>7168</x:v>
      </x:c>
      <x:c r="E107" s="2973" t="n">
        <x:v>128</x:v>
      </x:c>
      <x:c r="F107" s="2973" t="n">
        <x:v>256</x:v>
      </x:c>
      <x:c r="G107" s="2973" t="n">
        <x:v>1024</x:v>
      </x:c>
      <x:c r="H107" s="2974" t="n">
        <x:v>128</x:v>
      </x:c>
      <x:c r="I107" s="2974" t="n">
        <x:v>256</x:v>
      </x:c>
      <x:c r="J107" s="2974" t="n">
        <x:v>384</x:v>
      </x:c>
      <x:c r="K107" s="2975" t="n">
        <x:v>128</x:v>
      </x:c>
      <x:c r="L107" s="2973" t="inlineStr">
        <x:is>
          <x:t xml:space="preserve">—</x:t>
        </x:is>
      </x:c>
      <x:c r="M107" s="2870" t="str">
        <x:f>IF(AND(ISNUMBER(L107),L107&gt;0),ROUND(B107*C107*D107/8192/L107*100,1)/100,"")</x:f>
      </x:c>
      <x:c r="N107" s="2973" t="n">
        <x:f>IF(OR(B107="",C107="",D107="",E107="",F107="",G107=""),"",ROUNDUP(B107/MIN(E107,128),0)*(C107/F107)*(D107/G107)*((MIN(B107,MIN(E107,128))+F107)*G107*1/1024))</x:f>
        <x:v>2688</x:v>
      </x:c>
      <x:c r="O107" s="2871" t="n">
        <x:f>IF(AND(ISNUMBER(N107),ISNUMBER(K107),K107&gt;0),N107*1024/K107,"")</x:f>
        <x:v>21504</x:v>
      </x:c>
      <x:c r="P107" s="2872" t="n">
        <x:f>IF(OR(E107="",F107="",G107=""),"",((H107+I107)*1024)/(E107*F107*G107/8192))</x:f>
        <x:v>96</x:v>
      </x:c>
      <x:c r="Q107" s="2872" t="n">
        <x:f>IF(OR(E107="",F107="",G107=""),"",(E107*F107*4)/(E107*F107*G107/8192))</x:f>
        <x:v>32</x:v>
      </x:c>
      <x:c r="R107" s="2870" t="n">
        <x:f>IF(AND(ISNUMBER(K107),K107&gt;0,ISNUMBER(P107),P107&gt;0),MIN(1,K107/P107),"")</x:f>
        <x:v>1</x:v>
      </x:c>
      <x:c r="S107" s="2870" t="n">
        <x:f>IF(AND(ISNUMBER(K107),K107&gt;0,ISNUMBER(Q107),Q107&gt;0),MIN(1,K107/Q107),"")</x:f>
        <x:v>1</x:v>
      </x:c>
      <x:c r="T107" s="2870" t="n">
        <x:f>IF(AND(ISNUMBER(R107),ISNUMBER(S107)),MIN(R107,S107),"")</x:f>
        <x:v>1</x:v>
      </x:c>
      <x:c r="U107" s="2872" t="str">
        <x:f>IF(AND(ISNUMBER(M107),ISNUMBER(T107)),(M107-T107)*100,"")</x:f>
      </x:c>
      <x:c r="V107" s="2973" t="n"/>
      <x:c r="W107" s="2870" t="n"/>
      <x:c r="X107" s="2870" t="n"/>
      <x:c r="Y107" s="2957" t="n"/>
      <x:c r="Z107" s="2870" t="n"/>
      <x:c r="AA107" s="2941" t="n"/>
      <x:c r="AB107" s="2934" t="inlineStr">
        <x:is>
          <x:t xml:space="preserve">COMPILE_FAIL</x:t>
        </x:is>
      </x:c>
      <x:c r="AC107" s="2880" t="inlineStr">
        <x:is>
          <x:t xml:space="preserve">容量超限：完整 SharedTile 足迹 &gt; 256 KiB；本轮 model-main 9b3a4405 + 8参数(256KB ShareTReg) 2026-09-22</x:t>
        </x:is>
      </x:c>
    </x:row>
    <x:row r="108" ht="20" customHeight="1">
      <x:c r="A108" s="2822" t="inlineStr">
        <x:is>
          <x:t xml:space="preserve">MXFP8</x:t>
        </x:is>
      </x:c>
      <x:c r="B108" s="2964" t="n"/>
      <x:c r="C108" s="2964" t="n"/>
      <x:c r="D108" s="2964" t="n"/>
      <x:c r="E108" s="2964" t="n"/>
      <x:c r="F108" s="2964" t="n"/>
      <x:c r="G108" s="2964" t="n"/>
      <x:c r="H108" s="2965" t="n"/>
      <x:c r="I108" s="2965" t="n"/>
      <x:c r="J108" s="2965" t="n"/>
      <x:c r="K108" s="2966"/>
      <x:c r="L108" s="2964" t="n"/>
      <x:c r="M108" s="2826" t="str"/>
      <x:c r="N108" s="2964" t="str"/>
      <x:c r="O108" s="2827" t="str"/>
      <x:c r="P108" s="2828" t="str"/>
      <x:c r="Q108" s="2828" t="str"/>
      <x:c r="R108" s="2826" t="str"/>
      <x:c r="S108" s="2826" t="str"/>
      <x:c r="T108" s="2826" t="str"/>
      <x:c r="U108" s="2828" t="str"/>
      <x:c r="V108" s="2964" t="n"/>
      <x:c r="W108" s="2826" t="n"/>
      <x:c r="X108" s="2826" t="n"/>
      <x:c r="Y108" s="2954" t="n"/>
      <x:c r="Z108" s="2826" t="n"/>
      <x:c r="AA108" s="2822" t="n"/>
      <x:c r="AB108" s="2822" t="n"/>
      <x:c r="AC108" s="2822" t="n"/>
    </x:row>
    <x:row r="109" ht="20" customHeight="1">
      <x:c r="A109" s="2891" t="inlineStr">
        <x:is>
          <x:t xml:space="preserve">MXFP8</x:t>
        </x:is>
      </x:c>
      <x:c r="B109" s="2976" t="n">
        <x:v>128</x:v>
      </x:c>
      <x:c r="C109" s="2976" t="n">
        <x:v>256</x:v>
      </x:c>
      <x:c r="D109" s="2976" t="n">
        <x:v>7168</x:v>
      </x:c>
      <x:c r="E109" s="2976" t="n">
        <x:v>128</x:v>
      </x:c>
      <x:c r="F109" s="2976" t="n">
        <x:v>64</x:v>
      </x:c>
      <x:c r="G109" s="2976" t="n">
        <x:v>256</x:v>
      </x:c>
      <x:c r="H109" s="2977" t="n">
        <x:v>36</x:v>
      </x:c>
      <x:c r="I109" s="2977" t="n">
        <x:v>18</x:v>
      </x:c>
      <x:c r="J109" s="2977" t="n">
        <x:v>54</x:v>
      </x:c>
      <x:c r="K109" s="2978" t="n">
        <x:v>128</x:v>
      </x:c>
      <x:c r="L109" s="2976" t="n">
        <x:v>82066</x:v>
      </x:c>
      <x:c r="M109" s="2895" t="n">
        <x:f>IF(AND(ISNUMBER(L109),L109&gt;0),ROUND(B109*C109*D109/8192/L109*100,1)/100,"")</x:f>
        <x:v>0.349</x:v>
      </x:c>
      <x:c r="N109" s="2976" t="n">
        <x:f>IF(OR(B109="",C109="",D109="",E109="",F109="",G109=""),"",ROUNDUP(B109/MIN(E109,128),0)*(C109/F109)*(D109/G109)*((MIN(B109,MIN(E109,128))+F109)*G109*(33/32)/1024))</x:f>
        <x:v>5544</x:v>
      </x:c>
      <x:c r="O109" s="2896" t="n">
        <x:f>IF(AND(ISNUMBER(N109),ISNUMBER(K109),K109&gt;0),N109*1024/K109,"")</x:f>
        <x:v>44352</x:v>
      </x:c>
      <x:c r="P109" s="2897" t="n">
        <x:f>IF(OR(E109="",F109="",G109=""),"",((H109+I109)*1024)/(E109*F109*G109/8192))</x:f>
        <x:v>216</x:v>
      </x:c>
      <x:c r="Q109" s="2897" t="n">
        <x:f>IF(OR(E109="",F109="",G109=""),"",(E109*F109*4)/(E109*F109*G109/8192))</x:f>
        <x:v>128</x:v>
      </x:c>
      <x:c r="R109" s="2895" t="n">
        <x:f>IF(AND(ISNUMBER(K109),K109&gt;0,ISNUMBER(P109),P109&gt;0),MIN(1,K109/P109),"")</x:f>
        <x:v>0.5925925925925926</x:v>
      </x:c>
      <x:c r="S109" s="2895" t="n">
        <x:f>IF(AND(ISNUMBER(K109),K109&gt;0,ISNUMBER(Q109),Q109&gt;0),MIN(1,K109/Q109),"")</x:f>
        <x:v>1</x:v>
      </x:c>
      <x:c r="T109" s="2895" t="n">
        <x:f>IF(AND(ISNUMBER(R109),ISNUMBER(S109)),MIN(R109,S109),"")</x:f>
        <x:v>0.5925925925925926</x:v>
      </x:c>
      <x:c r="U109" s="2897" t="n">
        <x:f>IF(AND(ISNUMBER(M109),ISNUMBER(T109)),(M109-T109)*100,"")</x:f>
        <x:v>-24.359259259259257</x:v>
      </x:c>
      <x:c r="V109" s="2976" t="n"/>
      <x:c r="W109" s="2895" t="n"/>
      <x:c r="X109" s="2895" t="n"/>
      <x:c r="Y109" s="2958" t="n"/>
      <x:c r="Z109" s="2895" t="n"/>
      <x:c r="AA109" s="2942" t="n"/>
      <x:c r="AB109" s="2935" t="inlineStr">
        <x:is>
          <x:t xml:space="preserve">PASS</x:t>
        </x:is>
      </x:c>
      <x:c r="AC109" s="2905" t="inlineStr">
        <x:is>
          <x:t xml:space="preserve">matmul_shared_lowp（MXFP8）；本轮 model-main ae058a98 + 6参数(无SoC带宽/延迟) 2026-09-26</x:t>
        </x:is>
      </x:c>
    </x:row>
    <x:row r="110" ht="20" customHeight="1">
      <x:c r="A110" s="2891" t="inlineStr">
        <x:is>
          <x:t xml:space="preserve">MXFP8</x:t>
        </x:is>
      </x:c>
      <x:c r="B110" s="2976" t="n">
        <x:v>128</x:v>
      </x:c>
      <x:c r="C110" s="2976" t="n">
        <x:v>256</x:v>
      </x:c>
      <x:c r="D110" s="2976" t="n">
        <x:v>7168</x:v>
      </x:c>
      <x:c r="E110" s="2976" t="n">
        <x:v>128</x:v>
      </x:c>
      <x:c r="F110" s="2976" t="n">
        <x:v>64</x:v>
      </x:c>
      <x:c r="G110" s="2976" t="n">
        <x:v>512</x:v>
      </x:c>
      <x:c r="H110" s="2977" t="n">
        <x:v>68</x:v>
      </x:c>
      <x:c r="I110" s="2977" t="n">
        <x:v>34</x:v>
      </x:c>
      <x:c r="J110" s="2977" t="n">
        <x:v>102</x:v>
      </x:c>
      <x:c r="K110" s="2978" t="n">
        <x:v>128</x:v>
      </x:c>
      <x:c r="L110" s="2976" t="n">
        <x:v>81196</x:v>
      </x:c>
      <x:c r="M110" s="2895" t="n">
        <x:f>IF(AND(ISNUMBER(L110),L110&gt;0),ROUND(B110*C110*D110/8192/L110*100,1)/100,"")</x:f>
        <x:v>0.353</x:v>
      </x:c>
      <x:c r="N110" s="2976" t="n">
        <x:f>IF(OR(B110="",C110="",D110="",E110="",F110="",G110=""),"",ROUNDUP(B110/MIN(E110,128),0)*(C110/F110)*(D110/G110)*((MIN(B110,MIN(E110,128))+F110)*G110*(33/32)/1024))</x:f>
        <x:v>5544</x:v>
      </x:c>
      <x:c r="O110" s="2896" t="n">
        <x:f>IF(AND(ISNUMBER(N110),ISNUMBER(K110),K110&gt;0),N110*1024/K110,"")</x:f>
        <x:v>44352</x:v>
      </x:c>
      <x:c r="P110" s="2897" t="n">
        <x:f>IF(OR(E110="",F110="",G110=""),"",((H110+I110)*1024)/(E110*F110*G110/8192))</x:f>
        <x:v>204</x:v>
      </x:c>
      <x:c r="Q110" s="2897" t="n">
        <x:f>IF(OR(E110="",F110="",G110=""),"",(E110*F110*4)/(E110*F110*G110/8192))</x:f>
        <x:v>64</x:v>
      </x:c>
      <x:c r="R110" s="2895" t="n">
        <x:f>IF(AND(ISNUMBER(K110),K110&gt;0,ISNUMBER(P110),P110&gt;0),MIN(1,K110/P110),"")</x:f>
        <x:v>0.6274509803921569</x:v>
      </x:c>
      <x:c r="S110" s="2895" t="n">
        <x:f>IF(AND(ISNUMBER(K110),K110&gt;0,ISNUMBER(Q110),Q110&gt;0),MIN(1,K110/Q110),"")</x:f>
        <x:v>1</x:v>
      </x:c>
      <x:c r="T110" s="2895" t="n">
        <x:f>IF(AND(ISNUMBER(R110),ISNUMBER(S110)),MIN(R110,S110),"")</x:f>
        <x:v>0.6274509803921569</x:v>
      </x:c>
      <x:c r="U110" s="2897" t="n">
        <x:f>IF(AND(ISNUMBER(M110),ISNUMBER(T110)),(M110-T110)*100,"")</x:f>
        <x:v>-27.445098039215686</x:v>
      </x:c>
      <x:c r="V110" s="2976" t="n"/>
      <x:c r="W110" s="2895" t="n"/>
      <x:c r="X110" s="2895" t="n"/>
      <x:c r="Y110" s="2958" t="n"/>
      <x:c r="Z110" s="2895" t="n"/>
      <x:c r="AA110" s="2942" t="n"/>
      <x:c r="AB110" s="2935" t="inlineStr">
        <x:is>
          <x:t xml:space="preserve">PASS</x:t>
        </x:is>
      </x:c>
      <x:c r="AC110" s="2905" t="inlineStr">
        <x:is>
          <x:t xml:space="preserve">matmul_shared_lowp（MXFP8）；本轮 model-main ae058a98 + 6参数(无SoC带宽/延迟) 2026-09-26</x:t>
        </x:is>
      </x:c>
    </x:row>
    <x:row r="111" ht="20" customHeight="1">
      <x:c r="A111" s="2891" t="inlineStr">
        <x:is>
          <x:t xml:space="preserve">MXFP8</x:t>
        </x:is>
      </x:c>
      <x:c r="B111" s="2976" t="n">
        <x:v>128</x:v>
      </x:c>
      <x:c r="C111" s="2976" t="n">
        <x:v>256</x:v>
      </x:c>
      <x:c r="D111" s="2976" t="n">
        <x:v>7168</x:v>
      </x:c>
      <x:c r="E111" s="2976" t="n">
        <x:v>128</x:v>
      </x:c>
      <x:c r="F111" s="2976" t="n">
        <x:v>64</x:v>
      </x:c>
      <x:c r="G111" s="2976" t="n">
        <x:v>1024</x:v>
      </x:c>
      <x:c r="H111" s="2977" t="n">
        <x:v>132</x:v>
      </x:c>
      <x:c r="I111" s="2977" t="n">
        <x:v>66</x:v>
      </x:c>
      <x:c r="J111" s="2977" t="n">
        <x:v>198</x:v>
      </x:c>
      <x:c r="K111" s="2978" t="n">
        <x:v>128</x:v>
      </x:c>
      <x:c r="L111" s="2976" t="n">
        <x:v>151838</x:v>
      </x:c>
      <x:c r="M111" s="2895" t="n">
        <x:f>IF(AND(ISNUMBER(L111),L111&gt;0),ROUND(B111*C111*D111/8192/L111*100,1)/100,"")</x:f>
        <x:v>0.18899999999999997</x:v>
      </x:c>
      <x:c r="N111" s="2976" t="n">
        <x:f>IF(OR(B111="",C111="",D111="",E111="",F111="",G111=""),"",ROUNDUP(B111/MIN(E111,128),0)*(C111/F111)*(D111/G111)*((MIN(B111,MIN(E111,128))+F111)*G111*(33/32)/1024))</x:f>
        <x:v>5544</x:v>
      </x:c>
      <x:c r="O111" s="2896" t="n">
        <x:f>IF(AND(ISNUMBER(N111),ISNUMBER(K111),K111&gt;0),N111*1024/K111,"")</x:f>
        <x:v>44352</x:v>
      </x:c>
      <x:c r="P111" s="2897" t="n">
        <x:f>IF(OR(E111="",F111="",G111=""),"",((H111+I111)*1024)/(E111*F111*G111/8192))</x:f>
        <x:v>198</x:v>
      </x:c>
      <x:c r="Q111" s="2897" t="n">
        <x:f>IF(OR(E111="",F111="",G111=""),"",(E111*F111*4)/(E111*F111*G111/8192))</x:f>
        <x:v>32</x:v>
      </x:c>
      <x:c r="R111" s="2895" t="n">
        <x:f>IF(AND(ISNUMBER(K111),K111&gt;0,ISNUMBER(P111),P111&gt;0),MIN(1,K111/P111),"")</x:f>
        <x:v>0.6464646464646465</x:v>
      </x:c>
      <x:c r="S111" s="2895" t="n">
        <x:f>IF(AND(ISNUMBER(K111),K111&gt;0,ISNUMBER(Q111),Q111&gt;0),MIN(1,K111/Q111),"")</x:f>
        <x:v>1</x:v>
      </x:c>
      <x:c r="T111" s="2895" t="n">
        <x:f>IF(AND(ISNUMBER(R111),ISNUMBER(S111)),MIN(R111,S111),"")</x:f>
        <x:v>0.6464646464646465</x:v>
      </x:c>
      <x:c r="U111" s="2897" t="n">
        <x:f>IF(AND(ISNUMBER(M111),ISNUMBER(T111)),(M111-T111)*100,"")</x:f>
        <x:v>-45.74646464646466</x:v>
      </x:c>
      <x:c r="V111" s="2976" t="n"/>
      <x:c r="W111" s="2895" t="n"/>
      <x:c r="X111" s="2895" t="n"/>
      <x:c r="Y111" s="2958" t="n"/>
      <x:c r="Z111" s="2895" t="n"/>
      <x:c r="AA111" s="2942" t="n"/>
      <x:c r="AB111" s="2935" t="inlineStr">
        <x:is>
          <x:t xml:space="preserve">PASS</x:t>
        </x:is>
      </x:c>
      <x:c r="AC111" s="2905" t="inlineStr">
        <x:is>
          <x:t xml:space="preserve">matmul_shared_lowp（MXFP8）；本轮 model-main ae058a98 + 6参数(无SoC带宽/延迟) 2026-09-26</x:t>
        </x:is>
      </x:c>
    </x:row>
    <x:row r="112" ht="20" customHeight="1">
      <x:c r="A112" s="2891" t="inlineStr">
        <x:is>
          <x:t xml:space="preserve">MXFP8</x:t>
        </x:is>
      </x:c>
      <x:c r="B112" s="2976" t="n">
        <x:v>128</x:v>
      </x:c>
      <x:c r="C112" s="2976" t="n">
        <x:v>256</x:v>
      </x:c>
      <x:c r="D112" s="2976" t="n">
        <x:v>7168</x:v>
      </x:c>
      <x:c r="E112" s="2976" t="n">
        <x:v>128</x:v>
      </x:c>
      <x:c r="F112" s="2976" t="n">
        <x:v>128</x:v>
      </x:c>
      <x:c r="G112" s="2976" t="n">
        <x:v>256</x:v>
      </x:c>
      <x:c r="H112" s="2977" t="n">
        <x:v>36</x:v>
      </x:c>
      <x:c r="I112" s="2977" t="n">
        <x:v>36</x:v>
      </x:c>
      <x:c r="J112" s="2977" t="n">
        <x:v>72</x:v>
      </x:c>
      <x:c r="K112" s="2978" t="n">
        <x:v>128</x:v>
      </x:c>
      <x:c r="L112" s="2976" t="n">
        <x:v>57832</x:v>
      </x:c>
      <x:c r="M112" s="2895" t="n">
        <x:f>IF(AND(ISNUMBER(L112),L112&gt;0),ROUND(B112*C112*D112/8192/L112*100,1)/100,"")</x:f>
        <x:v>0.496</x:v>
      </x:c>
      <x:c r="N112" s="2976" t="n">
        <x:f>IF(OR(B112="",C112="",D112="",E112="",F112="",G112=""),"",ROUNDUP(B112/MIN(E112,128),0)*(C112/F112)*(D112/G112)*((MIN(B112,MIN(E112,128))+F112)*G112*(33/32)/1024))</x:f>
        <x:v>3696</x:v>
      </x:c>
      <x:c r="O112" s="2896" t="n">
        <x:f>IF(AND(ISNUMBER(N112),ISNUMBER(K112),K112&gt;0),N112*1024/K112,"")</x:f>
        <x:v>29568</x:v>
      </x:c>
      <x:c r="P112" s="2897" t="n">
        <x:f>IF(OR(E112="",F112="",G112=""),"",((H112+I112)*1024)/(E112*F112*G112/8192))</x:f>
        <x:v>144</x:v>
      </x:c>
      <x:c r="Q112" s="2897" t="n">
        <x:f>IF(OR(E112="",F112="",G112=""),"",(E112*F112*4)/(E112*F112*G112/8192))</x:f>
        <x:v>128</x:v>
      </x:c>
      <x:c r="R112" s="2895" t="n">
        <x:f>IF(AND(ISNUMBER(K112),K112&gt;0,ISNUMBER(P112),P112&gt;0),MIN(1,K112/P112),"")</x:f>
        <x:v>0.8888888888888888</x:v>
      </x:c>
      <x:c r="S112" s="2895" t="n">
        <x:f>IF(AND(ISNUMBER(K112),K112&gt;0,ISNUMBER(Q112),Q112&gt;0),MIN(1,K112/Q112),"")</x:f>
        <x:v>1</x:v>
      </x:c>
      <x:c r="T112" s="2895" t="n">
        <x:f>IF(AND(ISNUMBER(R112),ISNUMBER(S112)),MIN(R112,S112),"")</x:f>
        <x:v>0.8888888888888888</x:v>
      </x:c>
      <x:c r="U112" s="2897" t="n">
        <x:f>IF(AND(ISNUMBER(M112),ISNUMBER(T112)),(M112-T112)*100,"")</x:f>
        <x:v>-39.288888888888884</x:v>
      </x:c>
      <x:c r="V112" s="2976" t="n"/>
      <x:c r="W112" s="2895" t="n"/>
      <x:c r="X112" s="2895" t="n"/>
      <x:c r="Y112" s="2958" t="n"/>
      <x:c r="Z112" s="2895" t="n"/>
      <x:c r="AA112" s="2942" t="n"/>
      <x:c r="AB112" s="2935" t="inlineStr">
        <x:is>
          <x:t xml:space="preserve">PASS</x:t>
        </x:is>
      </x:c>
      <x:c r="AC112" s="2905" t="inlineStr">
        <x:is>
          <x:t xml:space="preserve">matmul_shared_lowp（MXFP8）；本轮 model-main ae058a98 + 6参数(无SoC带宽/延迟) 2026-09-26</x:t>
        </x:is>
      </x:c>
    </x:row>
    <x:row r="113" ht="20" customHeight="1">
      <x:c r="A113" s="2891" t="inlineStr">
        <x:is>
          <x:t xml:space="preserve">MXFP8</x:t>
        </x:is>
      </x:c>
      <x:c r="B113" s="2976" t="n">
        <x:v>128</x:v>
      </x:c>
      <x:c r="C113" s="2976" t="n">
        <x:v>256</x:v>
      </x:c>
      <x:c r="D113" s="2976" t="n">
        <x:v>7168</x:v>
      </x:c>
      <x:c r="E113" s="2976" t="n">
        <x:v>128</x:v>
      </x:c>
      <x:c r="F113" s="2976" t="n">
        <x:v>128</x:v>
      </x:c>
      <x:c r="G113" s="2976" t="n">
        <x:v>512</x:v>
      </x:c>
      <x:c r="H113" s="2977" t="n">
        <x:v>68</x:v>
      </x:c>
      <x:c r="I113" s="2977" t="n">
        <x:v>68</x:v>
      </x:c>
      <x:c r="J113" s="2977" t="n">
        <x:v>136</x:v>
      </x:c>
      <x:c r="K113" s="2978" t="n">
        <x:v>128</x:v>
      </x:c>
      <x:c r="L113" s="2976" t="n">
        <x:v>84213</x:v>
      </x:c>
      <x:c r="M113" s="2895" t="n">
        <x:f>IF(AND(ISNUMBER(L113),L113&gt;0),ROUND(B113*C113*D113/8192/L113*100,1)/100,"")</x:f>
        <x:v>0.34</x:v>
      </x:c>
      <x:c r="N113" s="2976" t="n">
        <x:f>IF(OR(B113="",C113="",D113="",E113="",F113="",G113=""),"",ROUNDUP(B113/MIN(E113,128),0)*(C113/F113)*(D113/G113)*((MIN(B113,MIN(E113,128))+F113)*G113*(33/32)/1024))</x:f>
        <x:v>3696</x:v>
      </x:c>
      <x:c r="O113" s="2896" t="n">
        <x:f>IF(AND(ISNUMBER(N113),ISNUMBER(K113),K113&gt;0),N113*1024/K113,"")</x:f>
        <x:v>29568</x:v>
      </x:c>
      <x:c r="P113" s="2897" t="n">
        <x:f>IF(OR(E113="",F113="",G113=""),"",((H113+I113)*1024)/(E113*F113*G113/8192))</x:f>
        <x:v>136</x:v>
      </x:c>
      <x:c r="Q113" s="2897" t="n">
        <x:f>IF(OR(E113="",F113="",G113=""),"",(E113*F113*4)/(E113*F113*G113/8192))</x:f>
        <x:v>64</x:v>
      </x:c>
      <x:c r="R113" s="2895" t="n">
        <x:f>IF(AND(ISNUMBER(K113),K113&gt;0,ISNUMBER(P113),P113&gt;0),MIN(1,K113/P113),"")</x:f>
        <x:v>0.9411764705882353</x:v>
      </x:c>
      <x:c r="S113" s="2895" t="n">
        <x:f>IF(AND(ISNUMBER(K113),K113&gt;0,ISNUMBER(Q113),Q113&gt;0),MIN(1,K113/Q113),"")</x:f>
        <x:v>1</x:v>
      </x:c>
      <x:c r="T113" s="2895" t="n">
        <x:f>IF(AND(ISNUMBER(R113),ISNUMBER(S113)),MIN(R113,S113),"")</x:f>
        <x:v>0.9411764705882353</x:v>
      </x:c>
      <x:c r="U113" s="2897" t="n">
        <x:f>IF(AND(ISNUMBER(M113),ISNUMBER(T113)),(M113-T113)*100,"")</x:f>
        <x:v>-60.11764705882352</x:v>
      </x:c>
      <x:c r="V113" s="2976" t="n"/>
      <x:c r="W113" s="2895" t="n"/>
      <x:c r="X113" s="2895" t="n"/>
      <x:c r="Y113" s="2958" t="n"/>
      <x:c r="Z113" s="2895" t="n"/>
      <x:c r="AA113" s="2942" t="n"/>
      <x:c r="AB113" s="2935" t="inlineStr">
        <x:is>
          <x:t xml:space="preserve">PASS</x:t>
        </x:is>
      </x:c>
      <x:c r="AC113" s="2905" t="inlineStr">
        <x:is>
          <x:t xml:space="preserve">matmul_shared_lowp（MXFP8）；本轮 model-main ae058a98 + 6参数(无SoC带宽/延迟) 2026-09-26</x:t>
        </x:is>
      </x:c>
    </x:row>
    <x:row r="114" ht="20" customHeight="1">
      <x:c r="A114" s="2891" t="inlineStr">
        <x:is>
          <x:t xml:space="preserve">MXFP8</x:t>
        </x:is>
      </x:c>
      <x:c r="B114" s="2976" t="n">
        <x:v>128</x:v>
      </x:c>
      <x:c r="C114" s="2976" t="n">
        <x:v>256</x:v>
      </x:c>
      <x:c r="D114" s="2976" t="n">
        <x:v>7168</x:v>
      </x:c>
      <x:c r="E114" s="2976" t="n">
        <x:v>128</x:v>
      </x:c>
      <x:c r="F114" s="2976" t="n">
        <x:v>128</x:v>
      </x:c>
      <x:c r="G114" s="2976" t="n">
        <x:v>1024</x:v>
      </x:c>
      <x:c r="H114" s="2977" t="n">
        <x:v>132</x:v>
      </x:c>
      <x:c r="I114" s="2977" t="n">
        <x:v>132</x:v>
      </x:c>
      <x:c r="J114" s="2977" t="n">
        <x:v>264</x:v>
      </x:c>
      <x:c r="K114" s="2978" t="n">
        <x:v>128</x:v>
      </x:c>
      <x:c r="L114" s="2976" t="inlineStr">
        <x:is>
          <x:t xml:space="preserve">—</x:t>
        </x:is>
      </x:c>
      <x:c r="M114" s="2895" t="str">
        <x:f>IF(AND(ISNUMBER(L114),L114&gt;0),ROUND(B114*C114*D114/8192/L114*100,1)/100,"")</x:f>
      </x:c>
      <x:c r="N114" s="2976" t="n">
        <x:f>IF(OR(B114="",C114="",D114="",E114="",F114="",G114=""),"",ROUNDUP(B114/MIN(E114,128),0)*(C114/F114)*(D114/G114)*((MIN(B114,MIN(E114,128))+F114)*G114*(33/32)/1024))</x:f>
        <x:v>3696</x:v>
      </x:c>
      <x:c r="O114" s="2896" t="n">
        <x:f>IF(AND(ISNUMBER(N114),ISNUMBER(K114),K114&gt;0),N114*1024/K114,"")</x:f>
        <x:v>29568</x:v>
      </x:c>
      <x:c r="P114" s="2897" t="n">
        <x:f>IF(OR(E114="",F114="",G114=""),"",((H114+I114)*1024)/(E114*F114*G114/8192))</x:f>
        <x:v>132</x:v>
      </x:c>
      <x:c r="Q114" s="2897" t="n">
        <x:f>IF(OR(E114="",F114="",G114=""),"",(E114*F114*4)/(E114*F114*G114/8192))</x:f>
        <x:v>32</x:v>
      </x:c>
      <x:c r="R114" s="2895" t="n">
        <x:f>IF(AND(ISNUMBER(K114),K114&gt;0,ISNUMBER(P114),P114&gt;0),MIN(1,K114/P114),"")</x:f>
        <x:v>0.9696969696969697</x:v>
      </x:c>
      <x:c r="S114" s="2895" t="n">
        <x:f>IF(AND(ISNUMBER(K114),K114&gt;0,ISNUMBER(Q114),Q114&gt;0),MIN(1,K114/Q114),"")</x:f>
        <x:v>1</x:v>
      </x:c>
      <x:c r="T114" s="2895" t="n">
        <x:f>IF(AND(ISNUMBER(R114),ISNUMBER(S114)),MIN(R114,S114),"")</x:f>
        <x:v>0.9696969696969697</x:v>
      </x:c>
      <x:c r="U114" s="2897" t="str">
        <x:f>IF(AND(ISNUMBER(M114),ISNUMBER(T114)),(M114-T114)*100,"")</x:f>
      </x:c>
      <x:c r="V114" s="2976" t="n"/>
      <x:c r="W114" s="2895" t="n"/>
      <x:c r="X114" s="2895" t="n"/>
      <x:c r="Y114" s="2958" t="n"/>
      <x:c r="Z114" s="2895" t="n"/>
      <x:c r="AA114" s="2942" t="n"/>
      <x:c r="AB114" s="2936" t="inlineStr">
        <x:is>
          <x:t xml:space="preserve">COMPILE_FAIL</x:t>
        </x:is>
      </x:c>
      <x:c r="AC114" s="2905" t="inlineStr">
        <x:is>
          <x:t xml:space="preserve">容量超限：完整 SharedTile 足迹 &gt; 256 KiB；本轮 model-main 9b3a4405 + 8参数(256KB ShareTReg) 2026-09-22</x:t>
        </x:is>
      </x:c>
    </x:row>
    <x:row r="115" ht="20" customHeight="1">
      <x:c r="A115" s="2891" t="inlineStr">
        <x:is>
          <x:t xml:space="preserve">MXFP8</x:t>
        </x:is>
      </x:c>
      <x:c r="B115" s="2976" t="n">
        <x:v>128</x:v>
      </x:c>
      <x:c r="C115" s="2976" t="n">
        <x:v>256</x:v>
      </x:c>
      <x:c r="D115" s="2976" t="n">
        <x:v>7168</x:v>
      </x:c>
      <x:c r="E115" s="2976" t="n">
        <x:v>128</x:v>
      </x:c>
      <x:c r="F115" s="2976" t="n">
        <x:v>256</x:v>
      </x:c>
      <x:c r="G115" s="2976" t="n">
        <x:v>256</x:v>
      </x:c>
      <x:c r="H115" s="2977" t="n">
        <x:v>36</x:v>
      </x:c>
      <x:c r="I115" s="2977" t="n">
        <x:v>72</x:v>
      </x:c>
      <x:c r="J115" s="2977" t="n">
        <x:v>108</x:v>
      </x:c>
      <x:c r="K115" s="2978" t="n">
        <x:v>128</x:v>
      </x:c>
      <x:c r="L115" s="2976" t="n">
        <x:v>53183</x:v>
      </x:c>
      <x:c r="M115" s="2895" t="n">
        <x:f>IF(AND(ISNUMBER(L115),L115&gt;0),ROUND(B115*C115*D115/8192/L115*100,1)/100,"")</x:f>
        <x:v>0.539</x:v>
      </x:c>
      <x:c r="N115" s="2976" t="n">
        <x:f>IF(OR(B115="",C115="",D115="",E115="",F115="",G115=""),"",ROUNDUP(B115/MIN(E115,128),0)*(C115/F115)*(D115/G115)*((MIN(B115,MIN(E115,128))+F115)*G115*(33/32)/1024))</x:f>
        <x:v>2772</x:v>
      </x:c>
      <x:c r="O115" s="2896" t="n">
        <x:f>IF(AND(ISNUMBER(N115),ISNUMBER(K115),K115&gt;0),N115*1024/K115,"")</x:f>
        <x:v>22176</x:v>
      </x:c>
      <x:c r="P115" s="2897" t="n">
        <x:f>IF(OR(E115="",F115="",G115=""),"",((H115+I115)*1024)/(E115*F115*G115/8192))</x:f>
        <x:v>108</x:v>
      </x:c>
      <x:c r="Q115" s="2897" t="n">
        <x:f>IF(OR(E115="",F115="",G115=""),"",(E115*F115*4)/(E115*F115*G115/8192))</x:f>
        <x:v>128</x:v>
      </x:c>
      <x:c r="R115" s="2895" t="n">
        <x:f>IF(AND(ISNUMBER(K115),K115&gt;0,ISNUMBER(P115),P115&gt;0),MIN(1,K115/P115),"")</x:f>
        <x:v>1</x:v>
      </x:c>
      <x:c r="S115" s="2895" t="n">
        <x:f>IF(AND(ISNUMBER(K115),K115&gt;0,ISNUMBER(Q115),Q115&gt;0),MIN(1,K115/Q115),"")</x:f>
        <x:v>1</x:v>
      </x:c>
      <x:c r="T115" s="2895" t="n">
        <x:f>IF(AND(ISNUMBER(R115),ISNUMBER(S115)),MIN(R115,S115),"")</x:f>
        <x:v>1</x:v>
      </x:c>
      <x:c r="U115" s="2897" t="n">
        <x:f>IF(AND(ISNUMBER(M115),ISNUMBER(T115)),(M115-T115)*100,"")</x:f>
        <x:v>-46.099999999999994</x:v>
      </x:c>
      <x:c r="V115" s="2976" t="n"/>
      <x:c r="W115" s="2895" t="n"/>
      <x:c r="X115" s="2895" t="n"/>
      <x:c r="Y115" s="2958" t="n"/>
      <x:c r="Z115" s="2895" t="n"/>
      <x:c r="AA115" s="2942" t="n"/>
      <x:c r="AB115" s="2935" t="inlineStr">
        <x:is>
          <x:t xml:space="preserve">PASS</x:t>
        </x:is>
      </x:c>
      <x:c r="AC115" s="2905" t="inlineStr">
        <x:is>
          <x:t xml:space="preserve">matmul_shared_lowp（MXFP8）；本轮 model-main ae058a98 + 6参数(无SoC带宽/延迟) 2026-09-26</x:t>
        </x:is>
      </x:c>
    </x:row>
    <x:row r="116" ht="20" customHeight="1">
      <x:c r="A116" s="2891" t="inlineStr">
        <x:is>
          <x:t xml:space="preserve">MXFP8</x:t>
        </x:is>
      </x:c>
      <x:c r="B116" s="2976" t="n">
        <x:v>128</x:v>
      </x:c>
      <x:c r="C116" s="2976" t="n">
        <x:v>256</x:v>
      </x:c>
      <x:c r="D116" s="2976" t="n">
        <x:v>7168</x:v>
      </x:c>
      <x:c r="E116" s="2976" t="n">
        <x:v>128</x:v>
      </x:c>
      <x:c r="F116" s="2976" t="n">
        <x:v>256</x:v>
      </x:c>
      <x:c r="G116" s="2976" t="n">
        <x:v>512</x:v>
      </x:c>
      <x:c r="H116" s="2977" t="n">
        <x:v>68</x:v>
      </x:c>
      <x:c r="I116" s="2977" t="n">
        <x:v>136</x:v>
      </x:c>
      <x:c r="J116" s="2977" t="n">
        <x:v>204</x:v>
      </x:c>
      <x:c r="K116" s="2978" t="n">
        <x:v>128</x:v>
      </x:c>
      <x:c r="L116" s="2976" t="n">
        <x:v>83627</x:v>
      </x:c>
      <x:c r="M116" s="2895" t="n">
        <x:f>IF(AND(ISNUMBER(L116),L116&gt;0),ROUND(B116*C116*D116/8192/L116*100,1)/100,"")</x:f>
        <x:v>0.34299999999999997</x:v>
      </x:c>
      <x:c r="N116" s="2976" t="n">
        <x:f>IF(OR(B116="",C116="",D116="",E116="",F116="",G116=""),"",ROUNDUP(B116/MIN(E116,128),0)*(C116/F116)*(D116/G116)*((MIN(B116,MIN(E116,128))+F116)*G116*(33/32)/1024))</x:f>
        <x:v>2772</x:v>
      </x:c>
      <x:c r="O116" s="2896" t="n">
        <x:f>IF(AND(ISNUMBER(N116),ISNUMBER(K116),K116&gt;0),N116*1024/K116,"")</x:f>
        <x:v>22176</x:v>
      </x:c>
      <x:c r="P116" s="2897" t="n">
        <x:f>IF(OR(E116="",F116="",G116=""),"",((H116+I116)*1024)/(E116*F116*G116/8192))</x:f>
        <x:v>102</x:v>
      </x:c>
      <x:c r="Q116" s="2897" t="n">
        <x:f>IF(OR(E116="",F116="",G116=""),"",(E116*F116*4)/(E116*F116*G116/8192))</x:f>
        <x:v>64</x:v>
      </x:c>
      <x:c r="R116" s="2895" t="n">
        <x:f>IF(AND(ISNUMBER(K116),K116&gt;0,ISNUMBER(P116),P116&gt;0),MIN(1,K116/P116),"")</x:f>
        <x:v>1</x:v>
      </x:c>
      <x:c r="S116" s="2895" t="n">
        <x:f>IF(AND(ISNUMBER(K116),K116&gt;0,ISNUMBER(Q116),Q116&gt;0),MIN(1,K116/Q116),"")</x:f>
        <x:v>1</x:v>
      </x:c>
      <x:c r="T116" s="2895" t="n">
        <x:f>IF(AND(ISNUMBER(R116),ISNUMBER(S116)),MIN(R116,S116),"")</x:f>
        <x:v>1</x:v>
      </x:c>
      <x:c r="U116" s="2897" t="n">
        <x:f>IF(AND(ISNUMBER(M116),ISNUMBER(T116)),(M116-T116)*100,"")</x:f>
        <x:v>-65.7</x:v>
      </x:c>
      <x:c r="V116" s="2976" t="n"/>
      <x:c r="W116" s="2895" t="n"/>
      <x:c r="X116" s="2895" t="n"/>
      <x:c r="Y116" s="2958" t="n"/>
      <x:c r="Z116" s="2895" t="n"/>
      <x:c r="AA116" s="2942" t="n"/>
      <x:c r="AB116" s="2935" t="inlineStr">
        <x:is>
          <x:t xml:space="preserve">PASS</x:t>
        </x:is>
      </x:c>
      <x:c r="AC116" s="2905" t="inlineStr">
        <x:is>
          <x:t xml:space="preserve">matmul_shared_lowp（MXFP8）；本轮 model-main ae058a98 + 6参数(无SoC带宽/延迟) 2026-09-26</x:t>
        </x:is>
      </x:c>
    </x:row>
    <x:row r="117" ht="20" customHeight="1">
      <x:c r="A117" s="2891" t="inlineStr">
        <x:is>
          <x:t xml:space="preserve">MXFP8</x:t>
        </x:is>
      </x:c>
      <x:c r="B117" s="2976" t="n">
        <x:v>128</x:v>
      </x:c>
      <x:c r="C117" s="2976" t="n">
        <x:v>256</x:v>
      </x:c>
      <x:c r="D117" s="2976" t="n">
        <x:v>7168</x:v>
      </x:c>
      <x:c r="E117" s="2976" t="n">
        <x:v>128</x:v>
      </x:c>
      <x:c r="F117" s="2976" t="n">
        <x:v>256</x:v>
      </x:c>
      <x:c r="G117" s="2976" t="n">
        <x:v>1024</x:v>
      </x:c>
      <x:c r="H117" s="2977" t="n">
        <x:v>132</x:v>
      </x:c>
      <x:c r="I117" s="2977" t="n">
        <x:v>264</x:v>
      </x:c>
      <x:c r="J117" s="2977" t="n">
        <x:v>396</x:v>
      </x:c>
      <x:c r="K117" s="2978" t="n">
        <x:v>128</x:v>
      </x:c>
      <x:c r="L117" s="2976" t="inlineStr">
        <x:is>
          <x:t xml:space="preserve">—</x:t>
        </x:is>
      </x:c>
      <x:c r="M117" s="2895" t="str">
        <x:f>IF(AND(ISNUMBER(L117),L117&gt;0),ROUND(B117*C117*D117/8192/L117*100,1)/100,"")</x:f>
      </x:c>
      <x:c r="N117" s="2976" t="n">
        <x:f>IF(OR(B117="",C117="",D117="",E117="",F117="",G117=""),"",ROUNDUP(B117/MIN(E117,128),0)*(C117/F117)*(D117/G117)*((MIN(B117,MIN(E117,128))+F117)*G117*(33/32)/1024))</x:f>
        <x:v>2772</x:v>
      </x:c>
      <x:c r="O117" s="2896" t="n">
        <x:f>IF(AND(ISNUMBER(N117),ISNUMBER(K117),K117&gt;0),N117*1024/K117,"")</x:f>
        <x:v>22176</x:v>
      </x:c>
      <x:c r="P117" s="2897" t="n">
        <x:f>IF(OR(E117="",F117="",G117=""),"",((H117+I117)*1024)/(E117*F117*G117/8192))</x:f>
        <x:v>99</x:v>
      </x:c>
      <x:c r="Q117" s="2897" t="n">
        <x:f>IF(OR(E117="",F117="",G117=""),"",(E117*F117*4)/(E117*F117*G117/8192))</x:f>
        <x:v>32</x:v>
      </x:c>
      <x:c r="R117" s="2895" t="n">
        <x:f>IF(AND(ISNUMBER(K117),K117&gt;0,ISNUMBER(P117),P117&gt;0),MIN(1,K117/P117),"")</x:f>
        <x:v>1</x:v>
      </x:c>
      <x:c r="S117" s="2895" t="n">
        <x:f>IF(AND(ISNUMBER(K117),K117&gt;0,ISNUMBER(Q117),Q117&gt;0),MIN(1,K117/Q117),"")</x:f>
        <x:v>1</x:v>
      </x:c>
      <x:c r="T117" s="2895" t="n">
        <x:f>IF(AND(ISNUMBER(R117),ISNUMBER(S117)),MIN(R117,S117),"")</x:f>
        <x:v>1</x:v>
      </x:c>
      <x:c r="U117" s="2897" t="str">
        <x:f>IF(AND(ISNUMBER(M117),ISNUMBER(T117)),(M117-T117)*100,"")</x:f>
      </x:c>
      <x:c r="V117" s="2976" t="n"/>
      <x:c r="W117" s="2895" t="n"/>
      <x:c r="X117" s="2895" t="n"/>
      <x:c r="Y117" s="2958" t="n"/>
      <x:c r="Z117" s="2895" t="n"/>
      <x:c r="AA117" s="2942" t="n"/>
      <x:c r="AB117" s="2936" t="inlineStr">
        <x:is>
          <x:t xml:space="preserve">COMPILE_FAIL</x:t>
        </x:is>
      </x:c>
      <x:c r="AC117" s="2905" t="inlineStr">
        <x:is>
          <x:t xml:space="preserve">容量超限：完整 SharedTile 足迹 &gt; 256 KiB；本轮 model-main 9b3a4405 + 8参数(256KB ShareTReg) 2026-09-22</x:t>
        </x:is>
      </x:c>
    </x:row>
    <x:row r="118" ht="20" customHeight="1">
      <x:c r="A118" s="2822" t="inlineStr">
        <x:is>
          <x:t xml:space="preserve">MXFP4</x:t>
        </x:is>
      </x:c>
      <x:c r="B118" s="2964" t="n"/>
      <x:c r="C118" s="2964" t="n"/>
      <x:c r="D118" s="2964" t="n"/>
      <x:c r="E118" s="2964" t="n"/>
      <x:c r="F118" s="2964" t="n"/>
      <x:c r="G118" s="2964" t="n"/>
      <x:c r="H118" s="2965" t="n"/>
      <x:c r="I118" s="2965" t="n"/>
      <x:c r="J118" s="2965" t="n"/>
      <x:c r="K118" s="2966"/>
      <x:c r="L118" s="2964" t="n"/>
      <x:c r="M118" s="2826" t="str"/>
      <x:c r="N118" s="2964" t="str"/>
      <x:c r="O118" s="2827" t="str"/>
      <x:c r="P118" s="2828" t="str"/>
      <x:c r="Q118" s="2828" t="str"/>
      <x:c r="R118" s="2826" t="str"/>
      <x:c r="S118" s="2826" t="str"/>
      <x:c r="T118" s="2826" t="str"/>
      <x:c r="U118" s="2828" t="str"/>
      <x:c r="V118" s="2964" t="n"/>
      <x:c r="W118" s="2826" t="n"/>
      <x:c r="X118" s="2826" t="n"/>
      <x:c r="Y118" s="2954" t="n"/>
      <x:c r="Z118" s="2826" t="n"/>
      <x:c r="AA118" s="2822" t="n"/>
      <x:c r="AB118" s="2822" t="n"/>
      <x:c r="AC118" s="2822" t="n"/>
    </x:row>
    <x:row r="119" ht="20" customHeight="1">
      <x:c r="A119" s="2916" t="inlineStr">
        <x:is>
          <x:t xml:space="preserve">MXFP4</x:t>
        </x:is>
      </x:c>
      <x:c r="B119" s="2979" t="n">
        <x:v>128</x:v>
      </x:c>
      <x:c r="C119" s="2979" t="n">
        <x:v>256</x:v>
      </x:c>
      <x:c r="D119" s="2979" t="n">
        <x:v>7168</x:v>
      </x:c>
      <x:c r="E119" s="2979" t="n">
        <x:v>128</x:v>
      </x:c>
      <x:c r="F119" s="2979" t="n">
        <x:v>64</x:v>
      </x:c>
      <x:c r="G119" s="2979" t="n">
        <x:v>256</x:v>
      </x:c>
      <x:c r="H119" s="2980" t="n">
        <x:v>36</x:v>
      </x:c>
      <x:c r="I119" s="2980" t="n">
        <x:v>18</x:v>
      </x:c>
      <x:c r="J119" s="2980" t="n">
        <x:v>54</x:v>
      </x:c>
      <x:c r="K119" s="2981" t="n">
        <x:v>128</x:v>
      </x:c>
      <x:c r="L119" s="2979" t="n">
        <x:v>88512</x:v>
      </x:c>
      <x:c r="M119" s="2920" t="n">
        <x:f>IF(AND(ISNUMBER(L119),L119&gt;0),ROUND(B119*C119*D119/16384/L119*100,1)/100,"")</x:f>
        <x:v>0.162</x:v>
      </x:c>
      <x:c r="N119" s="2979" t="n">
        <x:f>IF(OR(B119="",C119="",D119="",E119="",F119="",G119=""),"",ROUNDUP(B119/MIN(E119,128),0)*(C119/F119)*(D119/G119)*((MIN(B119,MIN(E119,128))+F119)*G119*(17/32)/1024))</x:f>
        <x:v>2856</x:v>
      </x:c>
      <x:c r="O119" s="2921" t="n">
        <x:f>IF(AND(ISNUMBER(N119),ISNUMBER(K119),K119&gt;0),N119*1024/K119,"")</x:f>
        <x:v>22848</x:v>
      </x:c>
      <x:c r="P119" s="2922" t="n">
        <x:f>IF(OR(E119="",F119="",G119=""),"",((H119+I119)*1024)/(E119*F119*G119/16384))</x:f>
        <x:v>432</x:v>
      </x:c>
      <x:c r="Q119" s="2922" t="n">
        <x:f>IF(OR(E119="",F119="",G119=""),"",(E119*F119*4)/(E119*F119*G119/16384))</x:f>
        <x:v>256</x:v>
      </x:c>
      <x:c r="R119" s="2920" t="n">
        <x:f>IF(AND(ISNUMBER(K119),K119&gt;0,ISNUMBER(P119),P119&gt;0),MIN(1,K119/P119),"")</x:f>
        <x:v>0.2962962962962963</x:v>
      </x:c>
      <x:c r="S119" s="2920" t="n">
        <x:f>IF(AND(ISNUMBER(K119),K119&gt;0,ISNUMBER(Q119),Q119&gt;0),MIN(1,K119/Q119),"")</x:f>
        <x:v>0.5</x:v>
      </x:c>
      <x:c r="T119" s="2920" t="n">
        <x:f>IF(AND(ISNUMBER(R119),ISNUMBER(S119)),MIN(R119,S119),"")</x:f>
        <x:v>0.2962962962962963</x:v>
      </x:c>
      <x:c r="U119" s="2922" t="n">
        <x:f>IF(AND(ISNUMBER(M119),ISNUMBER(T119)),(M119-T119)*100,"")</x:f>
        <x:v>-13.429629629629627</x:v>
      </x:c>
      <x:c r="V119" s="2979" t="n"/>
      <x:c r="W119" s="2920" t="n"/>
      <x:c r="X119" s="2920" t="n"/>
      <x:c r="Y119" s="2959" t="n"/>
      <x:c r="Z119" s="2920" t="n"/>
      <x:c r="AA119" s="2937" t="n"/>
      <x:c r="AB119" s="2938" t="inlineStr">
        <x:is>
          <x:t xml:space="preserve">PASS</x:t>
        </x:is>
      </x:c>
      <x:c r="AC119" s="2930" t="inlineStr">
        <x:is>
          <x:t xml:space="preserve">matmul_shared_lowp（MXFP4）；本轮 model-main ae058a98 + 6参数(无SoC带宽/延迟) 2026-09-26</x:t>
        </x:is>
      </x:c>
    </x:row>
    <x:row r="120" ht="20" customHeight="1">
      <x:c r="A120" s="2916" t="inlineStr">
        <x:is>
          <x:t xml:space="preserve">MXFP4</x:t>
        </x:is>
      </x:c>
      <x:c r="B120" s="2979" t="n">
        <x:v>128</x:v>
      </x:c>
      <x:c r="C120" s="2979" t="n">
        <x:v>256</x:v>
      </x:c>
      <x:c r="D120" s="2979" t="n">
        <x:v>7168</x:v>
      </x:c>
      <x:c r="E120" s="2979" t="n">
        <x:v>128</x:v>
      </x:c>
      <x:c r="F120" s="2979" t="n">
        <x:v>64</x:v>
      </x:c>
      <x:c r="G120" s="2979" t="n">
        <x:v>512</x:v>
      </x:c>
      <x:c r="H120" s="2980" t="n">
        <x:v>68</x:v>
      </x:c>
      <x:c r="I120" s="2980" t="n">
        <x:v>34</x:v>
      </x:c>
      <x:c r="J120" s="2980" t="n">
        <x:v>102</x:v>
      </x:c>
      <x:c r="K120" s="2981" t="n">
        <x:v>128</x:v>
      </x:c>
      <x:c r="L120" s="2979" t="n">
        <x:v>85837</x:v>
      </x:c>
      <x:c r="M120" s="2920" t="n">
        <x:f>IF(AND(ISNUMBER(L120),L120&gt;0),ROUND(B120*C120*D120/16384/L120*100,1)/100,"")</x:f>
        <x:v>0.16699999999999998</x:v>
      </x:c>
      <x:c r="N120" s="2979" t="n">
        <x:f>IF(OR(B120="",C120="",D120="",E120="",F120="",G120=""),"",ROUNDUP(B120/MIN(E120,128),0)*(C120/F120)*(D120/G120)*((MIN(B120,MIN(E120,128))+F120)*G120*(17/32)/1024))</x:f>
        <x:v>2856</x:v>
      </x:c>
      <x:c r="O120" s="2921" t="n">
        <x:f>IF(AND(ISNUMBER(N120),ISNUMBER(K120),K120&gt;0),N120*1024/K120,"")</x:f>
        <x:v>22848</x:v>
      </x:c>
      <x:c r="P120" s="2922" t="n">
        <x:f>IF(OR(E120="",F120="",G120=""),"",((H120+I120)*1024)/(E120*F120*G120/16384))</x:f>
        <x:v>408</x:v>
      </x:c>
      <x:c r="Q120" s="2922" t="n">
        <x:f>IF(OR(E120="",F120="",G120=""),"",(E120*F120*4)/(E120*F120*G120/16384))</x:f>
        <x:v>128</x:v>
      </x:c>
      <x:c r="R120" s="2920" t="n">
        <x:f>IF(AND(ISNUMBER(K120),K120&gt;0,ISNUMBER(P120),P120&gt;0),MIN(1,K120/P120),"")</x:f>
        <x:v>0.3137254901960784</x:v>
      </x:c>
      <x:c r="S120" s="2920" t="n">
        <x:f>IF(AND(ISNUMBER(K120),K120&gt;0,ISNUMBER(Q120),Q120&gt;0),MIN(1,K120/Q120),"")</x:f>
        <x:v>1</x:v>
      </x:c>
      <x:c r="T120" s="2920" t="n">
        <x:f>IF(AND(ISNUMBER(R120),ISNUMBER(S120)),MIN(R120,S120),"")</x:f>
        <x:v>0.3137254901960784</x:v>
      </x:c>
      <x:c r="U120" s="2922" t="n">
        <x:f>IF(AND(ISNUMBER(M120),ISNUMBER(T120)),(M120-T120)*100,"")</x:f>
        <x:v>-14.672549019607844</x:v>
      </x:c>
      <x:c r="V120" s="2979" t="n"/>
      <x:c r="W120" s="2920" t="n"/>
      <x:c r="X120" s="2920" t="n"/>
      <x:c r="Y120" s="2959" t="n"/>
      <x:c r="Z120" s="2920" t="n"/>
      <x:c r="AA120" s="2937" t="n"/>
      <x:c r="AB120" s="2938" t="inlineStr">
        <x:is>
          <x:t xml:space="preserve">PASS</x:t>
        </x:is>
      </x:c>
      <x:c r="AC120" s="2930" t="inlineStr">
        <x:is>
          <x:t xml:space="preserve">matmul_shared_lowp（MXFP4）；本轮 model-main ae058a98 + 6参数(无SoC带宽/延迟) 2026-09-26</x:t>
        </x:is>
      </x:c>
    </x:row>
    <x:row r="121" ht="20" customHeight="1">
      <x:c r="A121" s="2916" t="inlineStr">
        <x:is>
          <x:t xml:space="preserve">MXFP4</x:t>
        </x:is>
      </x:c>
      <x:c r="B121" s="2979" t="n">
        <x:v>128</x:v>
      </x:c>
      <x:c r="C121" s="2979" t="n">
        <x:v>256</x:v>
      </x:c>
      <x:c r="D121" s="2979" t="n">
        <x:v>7168</x:v>
      </x:c>
      <x:c r="E121" s="2979" t="n">
        <x:v>128</x:v>
      </x:c>
      <x:c r="F121" s="2979" t="n">
        <x:v>64</x:v>
      </x:c>
      <x:c r="G121" s="2979" t="n">
        <x:v>1024</x:v>
      </x:c>
      <x:c r="H121" s="2980" t="n">
        <x:v>132</x:v>
      </x:c>
      <x:c r="I121" s="2980" t="n">
        <x:v>66</x:v>
      </x:c>
      <x:c r="J121" s="2980" t="n">
        <x:v>198</x:v>
      </x:c>
      <x:c r="K121" s="2981" t="n">
        <x:v>128</x:v>
      </x:c>
      <x:c r="L121" s="2979" t="n">
        <x:v>141089</x:v>
      </x:c>
      <x:c r="M121" s="2920" t="n">
        <x:f>IF(AND(ISNUMBER(L121),L121&gt;0),ROUND(B121*C121*D121/16384/L121*100,1)/100,"")</x:f>
        <x:v>0.102</x:v>
      </x:c>
      <x:c r="N121" s="2979" t="n">
        <x:f>IF(OR(B121="",C121="",D121="",E121="",F121="",G121=""),"",ROUNDUP(B121/MIN(E121,128),0)*(C121/F121)*(D121/G121)*((MIN(B121,MIN(E121,128))+F121)*G121*(17/32)/1024))</x:f>
        <x:v>2856</x:v>
      </x:c>
      <x:c r="O121" s="2921" t="n">
        <x:f>IF(AND(ISNUMBER(N121),ISNUMBER(K121),K121&gt;0),N121*1024/K121,"")</x:f>
        <x:v>22848</x:v>
      </x:c>
      <x:c r="P121" s="2922" t="n">
        <x:f>IF(OR(E121="",F121="",G121=""),"",((H121+I121)*1024)/(E121*F121*G121/16384))</x:f>
        <x:v>396</x:v>
      </x:c>
      <x:c r="Q121" s="2922" t="n">
        <x:f>IF(OR(E121="",F121="",G121=""),"",(E121*F121*4)/(E121*F121*G121/16384))</x:f>
        <x:v>64</x:v>
      </x:c>
      <x:c r="R121" s="2920" t="n">
        <x:f>IF(AND(ISNUMBER(K121),K121&gt;0,ISNUMBER(P121),P121&gt;0),MIN(1,K121/P121),"")</x:f>
        <x:v>0.32323232323232326</x:v>
      </x:c>
      <x:c r="S121" s="2920" t="n">
        <x:f>IF(AND(ISNUMBER(K121),K121&gt;0,ISNUMBER(Q121),Q121&gt;0),MIN(1,K121/Q121),"")</x:f>
        <x:v>1</x:v>
      </x:c>
      <x:c r="T121" s="2920" t="n">
        <x:f>IF(AND(ISNUMBER(R121),ISNUMBER(S121)),MIN(R121,S121),"")</x:f>
        <x:v>0.32323232323232326</x:v>
      </x:c>
      <x:c r="U121" s="2922" t="n">
        <x:f>IF(AND(ISNUMBER(M121),ISNUMBER(T121)),(M121-T121)*100,"")</x:f>
        <x:v>-22.12323232323233</x:v>
      </x:c>
      <x:c r="V121" s="2979" t="n"/>
      <x:c r="W121" s="2920" t="n"/>
      <x:c r="X121" s="2920" t="n"/>
      <x:c r="Y121" s="2959" t="n"/>
      <x:c r="Z121" s="2920" t="n"/>
      <x:c r="AA121" s="2937" t="n"/>
      <x:c r="AB121" s="2938" t="inlineStr">
        <x:is>
          <x:t xml:space="preserve">PASS</x:t>
        </x:is>
      </x:c>
      <x:c r="AC121" s="2930" t="inlineStr">
        <x:is>
          <x:t xml:space="preserve">matmul_shared_lowp（MXFP4）；本轮 model-main ae058a98 + 6参数(无SoC带宽/延迟) 2026-09-26</x:t>
        </x:is>
      </x:c>
    </x:row>
    <x:row r="122" ht="20" customHeight="1">
      <x:c r="A122" s="2916" t="inlineStr">
        <x:is>
          <x:t xml:space="preserve">MXFP4</x:t>
        </x:is>
      </x:c>
      <x:c r="B122" s="2979" t="n">
        <x:v>128</x:v>
      </x:c>
      <x:c r="C122" s="2979" t="n">
        <x:v>256</x:v>
      </x:c>
      <x:c r="D122" s="2979" t="n">
        <x:v>7168</x:v>
      </x:c>
      <x:c r="E122" s="2979" t="n">
        <x:v>128</x:v>
      </x:c>
      <x:c r="F122" s="2979" t="n">
        <x:v>128</x:v>
      </x:c>
      <x:c r="G122" s="2979" t="n">
        <x:v>256</x:v>
      </x:c>
      <x:c r="H122" s="2980" t="n">
        <x:v>36</x:v>
      </x:c>
      <x:c r="I122" s="2980" t="n">
        <x:v>36</x:v>
      </x:c>
      <x:c r="J122" s="2980" t="n">
        <x:v>72</x:v>
      </x:c>
      <x:c r="K122" s="2981" t="n">
        <x:v>128</x:v>
      </x:c>
      <x:c r="L122" s="2979" t="n">
        <x:v>61158</x:v>
      </x:c>
      <x:c r="M122" s="2920" t="n">
        <x:f>IF(AND(ISNUMBER(L122),L122&gt;0),ROUND(B122*C122*D122/16384/L122*100,1)/100,"")</x:f>
        <x:v>0.23399999999999999</x:v>
      </x:c>
      <x:c r="N122" s="2979" t="n">
        <x:f>IF(OR(B122="",C122="",D122="",E122="",F122="",G122=""),"",ROUNDUP(B122/MIN(E122,128),0)*(C122/F122)*(D122/G122)*((MIN(B122,MIN(E122,128))+F122)*G122*(17/32)/1024))</x:f>
        <x:v>1904</x:v>
      </x:c>
      <x:c r="O122" s="2921" t="n">
        <x:f>IF(AND(ISNUMBER(N122),ISNUMBER(K122),K122&gt;0),N122*1024/K122,"")</x:f>
        <x:v>15232</x:v>
      </x:c>
      <x:c r="P122" s="2922" t="n">
        <x:f>IF(OR(E122="",F122="",G122=""),"",((H122+I122)*1024)/(E122*F122*G122/16384))</x:f>
        <x:v>288</x:v>
      </x:c>
      <x:c r="Q122" s="2922" t="n">
        <x:f>IF(OR(E122="",F122="",G122=""),"",(E122*F122*4)/(E122*F122*G122/16384))</x:f>
        <x:v>256</x:v>
      </x:c>
      <x:c r="R122" s="2920" t="n">
        <x:f>IF(AND(ISNUMBER(K122),K122&gt;0,ISNUMBER(P122),P122&gt;0),MIN(1,K122/P122),"")</x:f>
        <x:v>0.4444444444444444</x:v>
      </x:c>
      <x:c r="S122" s="2920" t="n">
        <x:f>IF(AND(ISNUMBER(K122),K122&gt;0,ISNUMBER(Q122),Q122&gt;0),MIN(1,K122/Q122),"")</x:f>
        <x:v>0.5</x:v>
      </x:c>
      <x:c r="T122" s="2920" t="n">
        <x:f>IF(AND(ISNUMBER(R122),ISNUMBER(S122)),MIN(R122,S122),"")</x:f>
        <x:v>0.4444444444444444</x:v>
      </x:c>
      <x:c r="U122" s="2922" t="n">
        <x:f>IF(AND(ISNUMBER(M122),ISNUMBER(T122)),(M122-T122)*100,"")</x:f>
        <x:v>-21.044444444444444</x:v>
      </x:c>
      <x:c r="V122" s="2979" t="n"/>
      <x:c r="W122" s="2920" t="n"/>
      <x:c r="X122" s="2920" t="n"/>
      <x:c r="Y122" s="2959" t="n"/>
      <x:c r="Z122" s="2920" t="n"/>
      <x:c r="AA122" s="2937" t="n"/>
      <x:c r="AB122" s="2938" t="inlineStr">
        <x:is>
          <x:t xml:space="preserve">PASS</x:t>
        </x:is>
      </x:c>
      <x:c r="AC122" s="2930" t="inlineStr">
        <x:is>
          <x:t xml:space="preserve">matmul_shared_lowp（MXFP4）；本轮 model-main ae058a98 + 6参数(无SoC带宽/延迟) 2026-09-26</x:t>
        </x:is>
      </x:c>
    </x:row>
    <x:row r="123" ht="20" customHeight="1">
      <x:c r="A123" s="2916" t="inlineStr">
        <x:is>
          <x:t xml:space="preserve">MXFP4</x:t>
        </x:is>
      </x:c>
      <x:c r="B123" s="2979" t="n">
        <x:v>128</x:v>
      </x:c>
      <x:c r="C123" s="2979" t="n">
        <x:v>256</x:v>
      </x:c>
      <x:c r="D123" s="2979" t="n">
        <x:v>7168</x:v>
      </x:c>
      <x:c r="E123" s="2979" t="n">
        <x:v>128</x:v>
      </x:c>
      <x:c r="F123" s="2979" t="n">
        <x:v>128</x:v>
      </x:c>
      <x:c r="G123" s="2979" t="n">
        <x:v>512</x:v>
      </x:c>
      <x:c r="H123" s="2980" t="n">
        <x:v>68</x:v>
      </x:c>
      <x:c r="I123" s="2980" t="n">
        <x:v>68</x:v>
      </x:c>
      <x:c r="J123" s="2980" t="n">
        <x:v>136</x:v>
      </x:c>
      <x:c r="K123" s="2981" t="n">
        <x:v>128</x:v>
      </x:c>
      <x:c r="L123" s="2979" t="n">
        <x:v>74321</x:v>
      </x:c>
      <x:c r="M123" s="2920" t="n">
        <x:f>IF(AND(ISNUMBER(L123),L123&gt;0),ROUND(B123*C123*D123/16384/L123*100,1)/100,"")</x:f>
        <x:v>0.193</x:v>
      </x:c>
      <x:c r="N123" s="2979" t="n">
        <x:f>IF(OR(B123="",C123="",D123="",E123="",F123="",G123=""),"",ROUNDUP(B123/MIN(E123,128),0)*(C123/F123)*(D123/G123)*((MIN(B123,MIN(E123,128))+F123)*G123*(17/32)/1024))</x:f>
        <x:v>1904</x:v>
      </x:c>
      <x:c r="O123" s="2921" t="n">
        <x:f>IF(AND(ISNUMBER(N123),ISNUMBER(K123),K123&gt;0),N123*1024/K123,"")</x:f>
        <x:v>15232</x:v>
      </x:c>
      <x:c r="P123" s="2922" t="n">
        <x:f>IF(OR(E123="",F123="",G123=""),"",((H123+I123)*1024)/(E123*F123*G123/16384))</x:f>
        <x:v>272</x:v>
      </x:c>
      <x:c r="Q123" s="2922" t="n">
        <x:f>IF(OR(E123="",F123="",G123=""),"",(E123*F123*4)/(E123*F123*G123/16384))</x:f>
        <x:v>128</x:v>
      </x:c>
      <x:c r="R123" s="2920" t="n">
        <x:f>IF(AND(ISNUMBER(K123),K123&gt;0,ISNUMBER(P123),P123&gt;0),MIN(1,K123/P123),"")</x:f>
        <x:v>0.47058823529411764</x:v>
      </x:c>
      <x:c r="S123" s="2920" t="n">
        <x:f>IF(AND(ISNUMBER(K123),K123&gt;0,ISNUMBER(Q123),Q123&gt;0),MIN(1,K123/Q123),"")</x:f>
        <x:v>1</x:v>
      </x:c>
      <x:c r="T123" s="2920" t="n">
        <x:f>IF(AND(ISNUMBER(R123),ISNUMBER(S123)),MIN(R123,S123),"")</x:f>
        <x:v>0.47058823529411764</x:v>
      </x:c>
      <x:c r="U123" s="2922" t="n">
        <x:f>IF(AND(ISNUMBER(M123),ISNUMBER(T123)),(M123-T123)*100,"")</x:f>
        <x:v>-27.758823529411764</x:v>
      </x:c>
      <x:c r="V123" s="2979" t="n"/>
      <x:c r="W123" s="2920" t="n"/>
      <x:c r="X123" s="2920" t="n"/>
      <x:c r="Y123" s="2959" t="n"/>
      <x:c r="Z123" s="2920" t="n"/>
      <x:c r="AA123" s="2937" t="n"/>
      <x:c r="AB123" s="2938" t="inlineStr">
        <x:is>
          <x:t xml:space="preserve">PASS</x:t>
        </x:is>
      </x:c>
      <x:c r="AC123" s="2930" t="inlineStr">
        <x:is>
          <x:t xml:space="preserve">matmul_shared_lowp（MXFP4）；本轮 model-main ae058a98 + 6参数(无SoC带宽/延迟) 2026-09-26</x:t>
        </x:is>
      </x:c>
    </x:row>
    <x:row r="124" ht="20" customHeight="1">
      <x:c r="A124" s="2916" t="inlineStr">
        <x:is>
          <x:t xml:space="preserve">MXFP4</x:t>
        </x:is>
      </x:c>
      <x:c r="B124" s="2979" t="n">
        <x:v>128</x:v>
      </x:c>
      <x:c r="C124" s="2979" t="n">
        <x:v>256</x:v>
      </x:c>
      <x:c r="D124" s="2979" t="n">
        <x:v>7168</x:v>
      </x:c>
      <x:c r="E124" s="2979" t="n">
        <x:v>128</x:v>
      </x:c>
      <x:c r="F124" s="2979" t="n">
        <x:v>128</x:v>
      </x:c>
      <x:c r="G124" s="2979" t="n">
        <x:v>1024</x:v>
      </x:c>
      <x:c r="H124" s="2980" t="n">
        <x:v>132</x:v>
      </x:c>
      <x:c r="I124" s="2980" t="n">
        <x:v>132</x:v>
      </x:c>
      <x:c r="J124" s="2980" t="n">
        <x:v>264</x:v>
      </x:c>
      <x:c r="K124" s="2981" t="n">
        <x:v>128</x:v>
      </x:c>
      <x:c r="L124" s="2979" t="inlineStr">
        <x:is>
          <x:t xml:space="preserve">—</x:t>
        </x:is>
      </x:c>
      <x:c r="M124" s="2920" t="str">
        <x:f>IF(AND(ISNUMBER(L124),L124&gt;0),ROUND(B124*C124*D124/16384/L124*100,1)/100,"")</x:f>
      </x:c>
      <x:c r="N124" s="2979" t="n">
        <x:f>IF(OR(B124="",C124="",D124="",E124="",F124="",G124=""),"",ROUNDUP(B124/MIN(E124,128),0)*(C124/F124)*(D124/G124)*((MIN(B124,MIN(E124,128))+F124)*G124*(17/32)/1024))</x:f>
        <x:v>1904</x:v>
      </x:c>
      <x:c r="O124" s="2921" t="n">
        <x:f>IF(AND(ISNUMBER(N124),ISNUMBER(K124),K124&gt;0),N124*1024/K124,"")</x:f>
        <x:v>15232</x:v>
      </x:c>
      <x:c r="P124" s="2922" t="n">
        <x:f>IF(OR(E124="",F124="",G124=""),"",((H124+I124)*1024)/(E124*F124*G124/16384))</x:f>
        <x:v>264</x:v>
      </x:c>
      <x:c r="Q124" s="2922" t="n">
        <x:f>IF(OR(E124="",F124="",G124=""),"",(E124*F124*4)/(E124*F124*G124/16384))</x:f>
        <x:v>64</x:v>
      </x:c>
      <x:c r="R124" s="2920" t="n">
        <x:f>IF(AND(ISNUMBER(K124),K124&gt;0,ISNUMBER(P124),P124&gt;0),MIN(1,K124/P124),"")</x:f>
        <x:v>0.48484848484848486</x:v>
      </x:c>
      <x:c r="S124" s="2920" t="n">
        <x:f>IF(AND(ISNUMBER(K124),K124&gt;0,ISNUMBER(Q124),Q124&gt;0),MIN(1,K124/Q124),"")</x:f>
        <x:v>1</x:v>
      </x:c>
      <x:c r="T124" s="2920" t="n">
        <x:f>IF(AND(ISNUMBER(R124),ISNUMBER(S124)),MIN(R124,S124),"")</x:f>
        <x:v>0.48484848484848486</x:v>
      </x:c>
      <x:c r="U124" s="2922" t="str">
        <x:f>IF(AND(ISNUMBER(M124),ISNUMBER(T124)),(M124-T124)*100,"")</x:f>
      </x:c>
      <x:c r="V124" s="2979" t="n"/>
      <x:c r="W124" s="2920" t="n"/>
      <x:c r="X124" s="2920" t="n"/>
      <x:c r="Y124" s="2959" t="n"/>
      <x:c r="Z124" s="2920" t="n"/>
      <x:c r="AA124" s="2937" t="n"/>
      <x:c r="AB124" s="2939" t="inlineStr">
        <x:is>
          <x:t xml:space="preserve">COMPILE_FAIL</x:t>
        </x:is>
      </x:c>
      <x:c r="AC124" s="2930" t="inlineStr">
        <x:is>
          <x:t xml:space="preserve">容量超限：完整 SharedTile 足迹 &gt; 256 KiB；本轮 model-main 9b3a4405 + 8参数(256KB ShareTReg) 2026-09-22</x:t>
        </x:is>
      </x:c>
    </x:row>
    <x:row r="125" ht="20" customHeight="1">
      <x:c r="A125" s="2916" t="inlineStr">
        <x:is>
          <x:t xml:space="preserve">MXFP4</x:t>
        </x:is>
      </x:c>
      <x:c r="B125" s="2979" t="n">
        <x:v>128</x:v>
      </x:c>
      <x:c r="C125" s="2979" t="n">
        <x:v>256</x:v>
      </x:c>
      <x:c r="D125" s="2979" t="n">
        <x:v>7168</x:v>
      </x:c>
      <x:c r="E125" s="2979" t="n">
        <x:v>128</x:v>
      </x:c>
      <x:c r="F125" s="2979" t="n">
        <x:v>256</x:v>
      </x:c>
      <x:c r="G125" s="2979" t="n">
        <x:v>256</x:v>
      </x:c>
      <x:c r="H125" s="2980" t="n">
        <x:v>36</x:v>
      </x:c>
      <x:c r="I125" s="2980" t="n">
        <x:v>72</x:v>
      </x:c>
      <x:c r="J125" s="2980" t="n">
        <x:v>108</x:v>
      </x:c>
      <x:c r="K125" s="2981" t="n">
        <x:v>128</x:v>
      </x:c>
      <x:c r="L125" s="2979" t="n">
        <x:v>52774</x:v>
      </x:c>
      <x:c r="M125" s="2920" t="n">
        <x:f>IF(AND(ISNUMBER(L125),L125&gt;0),ROUND(B125*C125*D125/16384/L125*100,1)/100,"")</x:f>
        <x:v>0.272</x:v>
      </x:c>
      <x:c r="N125" s="2979" t="n">
        <x:f>IF(OR(B125="",C125="",D125="",E125="",F125="",G125=""),"",ROUNDUP(B125/MIN(E125,128),0)*(C125/F125)*(D125/G125)*((MIN(B125,MIN(E125,128))+F125)*G125*(17/32)/1024))</x:f>
        <x:v>1428</x:v>
      </x:c>
      <x:c r="O125" s="2921" t="n">
        <x:f>IF(AND(ISNUMBER(N125),ISNUMBER(K125),K125&gt;0),N125*1024/K125,"")</x:f>
        <x:v>11424</x:v>
      </x:c>
      <x:c r="P125" s="2922" t="n">
        <x:f>IF(OR(E125="",F125="",G125=""),"",((H125+I125)*1024)/(E125*F125*G125/16384))</x:f>
        <x:v>216</x:v>
      </x:c>
      <x:c r="Q125" s="2922" t="n">
        <x:f>IF(OR(E125="",F125="",G125=""),"",(E125*F125*4)/(E125*F125*G125/16384))</x:f>
        <x:v>256</x:v>
      </x:c>
      <x:c r="R125" s="2920" t="n">
        <x:f>IF(AND(ISNUMBER(K125),K125&gt;0,ISNUMBER(P125),P125&gt;0),MIN(1,K125/P125),"")</x:f>
        <x:v>0.5925925925925926</x:v>
      </x:c>
      <x:c r="S125" s="2920" t="n">
        <x:f>IF(AND(ISNUMBER(K125),K125&gt;0,ISNUMBER(Q125),Q125&gt;0),MIN(1,K125/Q125),"")</x:f>
        <x:v>0.5</x:v>
      </x:c>
      <x:c r="T125" s="2920" t="n">
        <x:f>IF(AND(ISNUMBER(R125),ISNUMBER(S125)),MIN(R125,S125),"")</x:f>
        <x:v>0.5</x:v>
      </x:c>
      <x:c r="U125" s="2922" t="n">
        <x:f>IF(AND(ISNUMBER(M125),ISNUMBER(T125)),(M125-T125)*100,"")</x:f>
        <x:v>-22.799999999999997</x:v>
      </x:c>
      <x:c r="V125" s="2979" t="n"/>
      <x:c r="W125" s="2920" t="n"/>
      <x:c r="X125" s="2920" t="n"/>
      <x:c r="Y125" s="2959" t="n"/>
      <x:c r="Z125" s="2920" t="n"/>
      <x:c r="AA125" s="2937" t="n"/>
      <x:c r="AB125" s="2938" t="inlineStr">
        <x:is>
          <x:t xml:space="preserve">PASS</x:t>
        </x:is>
      </x:c>
      <x:c r="AC125" s="2930" t="inlineStr">
        <x:is>
          <x:t xml:space="preserve">matmul_shared_lowp（MXFP4）；本轮 model-main ae058a98 + 6参数(无SoC带宽/延迟) 2026-09-26</x:t>
        </x:is>
      </x:c>
    </x:row>
    <x:row r="126" ht="20" customHeight="1">
      <x:c r="A126" s="2916" t="inlineStr">
        <x:is>
          <x:t xml:space="preserve">MXFP4</x:t>
        </x:is>
      </x:c>
      <x:c r="B126" s="2979" t="n">
        <x:v>128</x:v>
      </x:c>
      <x:c r="C126" s="2979" t="n">
        <x:v>256</x:v>
      </x:c>
      <x:c r="D126" s="2979" t="n">
        <x:v>7168</x:v>
      </x:c>
      <x:c r="E126" s="2979" t="n">
        <x:v>128</x:v>
      </x:c>
      <x:c r="F126" s="2979" t="n">
        <x:v>256</x:v>
      </x:c>
      <x:c r="G126" s="2979" t="n">
        <x:v>512</x:v>
      </x:c>
      <x:c r="H126" s="2980" t="n">
        <x:v>68</x:v>
      </x:c>
      <x:c r="I126" s="2980" t="n">
        <x:v>136</x:v>
      </x:c>
      <x:c r="J126" s="2980" t="n">
        <x:v>204</x:v>
      </x:c>
      <x:c r="K126" s="2981" t="n">
        <x:v>128</x:v>
      </x:c>
      <x:c r="L126" s="2979" t="n">
        <x:v>71699</x:v>
      </x:c>
      <x:c r="M126" s="2920" t="n">
        <x:f>IF(AND(ISNUMBER(L126),L126&gt;0),ROUND(B126*C126*D126/16384/L126*100,1)/100,"")</x:f>
        <x:v>0.2</x:v>
      </x:c>
      <x:c r="N126" s="2979" t="n">
        <x:f>IF(OR(B126="",C126="",D126="",E126="",F126="",G126=""),"",ROUNDUP(B126/MIN(E126,128),0)*(C126/F126)*(D126/G126)*((MIN(B126,MIN(E126,128))+F126)*G126*(17/32)/1024))</x:f>
        <x:v>1428</x:v>
      </x:c>
      <x:c r="O126" s="2921" t="n">
        <x:f>IF(AND(ISNUMBER(N126),ISNUMBER(K126),K126&gt;0),N126*1024/K126,"")</x:f>
        <x:v>11424</x:v>
      </x:c>
      <x:c r="P126" s="2922" t="n">
        <x:f>IF(OR(E126="",F126="",G126=""),"",((H126+I126)*1024)/(E126*F126*G126/16384))</x:f>
        <x:v>204</x:v>
      </x:c>
      <x:c r="Q126" s="2922" t="n">
        <x:f>IF(OR(E126="",F126="",G126=""),"",(E126*F126*4)/(E126*F126*G126/16384))</x:f>
        <x:v>128</x:v>
      </x:c>
      <x:c r="R126" s="2920" t="n">
        <x:f>IF(AND(ISNUMBER(K126),K126&gt;0,ISNUMBER(P126),P126&gt;0),MIN(1,K126/P126),"")</x:f>
        <x:v>0.6274509803921569</x:v>
      </x:c>
      <x:c r="S126" s="2920" t="n">
        <x:f>IF(AND(ISNUMBER(K126),K126&gt;0,ISNUMBER(Q126),Q126&gt;0),MIN(1,K126/Q126),"")</x:f>
        <x:v>1</x:v>
      </x:c>
      <x:c r="T126" s="2920" t="n">
        <x:f>IF(AND(ISNUMBER(R126),ISNUMBER(S126)),MIN(R126,S126),"")</x:f>
        <x:v>0.6274509803921569</x:v>
      </x:c>
      <x:c r="U126" s="2922" t="n">
        <x:f>IF(AND(ISNUMBER(M126),ISNUMBER(T126)),(M126-T126)*100,"")</x:f>
        <x:v>-42.745098039215684</x:v>
      </x:c>
      <x:c r="V126" s="2979" t="n"/>
      <x:c r="W126" s="2920" t="n"/>
      <x:c r="X126" s="2920" t="n"/>
      <x:c r="Y126" s="2959" t="n"/>
      <x:c r="Z126" s="2920" t="n"/>
      <x:c r="AA126" s="2937" t="n"/>
      <x:c r="AB126" s="2938" t="inlineStr">
        <x:is>
          <x:t xml:space="preserve">PASS</x:t>
        </x:is>
      </x:c>
      <x:c r="AC126" s="2930" t="inlineStr">
        <x:is>
          <x:t xml:space="preserve">matmul_shared_lowp（MXFP4）；本轮 model-main ae058a98 + 6参数(无SoC带宽/延迟) 2026-09-26</x:t>
        </x:is>
      </x:c>
    </x:row>
    <x:row r="127" ht="20" customHeight="1">
      <x:c r="A127" s="2916" t="inlineStr">
        <x:is>
          <x:t xml:space="preserve">MXFP4</x:t>
        </x:is>
      </x:c>
      <x:c r="B127" s="2979" t="n">
        <x:v>128</x:v>
      </x:c>
      <x:c r="C127" s="2979" t="n">
        <x:v>256</x:v>
      </x:c>
      <x:c r="D127" s="2979" t="n">
        <x:v>7168</x:v>
      </x:c>
      <x:c r="E127" s="2979" t="n">
        <x:v>128</x:v>
      </x:c>
      <x:c r="F127" s="2979" t="n">
        <x:v>256</x:v>
      </x:c>
      <x:c r="G127" s="2979" t="n">
        <x:v>1024</x:v>
      </x:c>
      <x:c r="H127" s="2980" t="n">
        <x:v>132</x:v>
      </x:c>
      <x:c r="I127" s="2980" t="n">
        <x:v>264</x:v>
      </x:c>
      <x:c r="J127" s="2980" t="n">
        <x:v>396</x:v>
      </x:c>
      <x:c r="K127" s="2981" t="n">
        <x:v>128</x:v>
      </x:c>
      <x:c r="L127" s="2979" t="inlineStr">
        <x:is>
          <x:t xml:space="preserve">—</x:t>
        </x:is>
      </x:c>
      <x:c r="M127" s="2920" t="str">
        <x:f>IF(AND(ISNUMBER(L127),L127&gt;0),ROUND(B127*C127*D127/16384/L127*100,1)/100,"")</x:f>
      </x:c>
      <x:c r="N127" s="2979" t="n">
        <x:f>IF(OR(B127="",C127="",D127="",E127="",F127="",G127=""),"",ROUNDUP(B127/MIN(E127,128),0)*(C127/F127)*(D127/G127)*((MIN(B127,MIN(E127,128))+F127)*G127*(17/32)/1024))</x:f>
        <x:v>1428</x:v>
      </x:c>
      <x:c r="O127" s="2921" t="n">
        <x:f>IF(AND(ISNUMBER(N127),ISNUMBER(K127),K127&gt;0),N127*1024/K127,"")</x:f>
        <x:v>11424</x:v>
      </x:c>
      <x:c r="P127" s="2922" t="n">
        <x:f>IF(OR(E127="",F127="",G127=""),"",((H127+I127)*1024)/(E127*F127*G127/16384))</x:f>
        <x:v>198</x:v>
      </x:c>
      <x:c r="Q127" s="2922" t="n">
        <x:f>IF(OR(E127="",F127="",G127=""),"",(E127*F127*4)/(E127*F127*G127/16384))</x:f>
        <x:v>64</x:v>
      </x:c>
      <x:c r="R127" s="2920" t="n">
        <x:f>IF(AND(ISNUMBER(K127),K127&gt;0,ISNUMBER(P127),P127&gt;0),MIN(1,K127/P127),"")</x:f>
        <x:v>0.6464646464646465</x:v>
      </x:c>
      <x:c r="S127" s="2920" t="n">
        <x:f>IF(AND(ISNUMBER(K127),K127&gt;0,ISNUMBER(Q127),Q127&gt;0),MIN(1,K127/Q127),"")</x:f>
        <x:v>1</x:v>
      </x:c>
      <x:c r="T127" s="2920" t="n">
        <x:f>IF(AND(ISNUMBER(R127),ISNUMBER(S127)),MIN(R127,S127),"")</x:f>
        <x:v>0.6464646464646465</x:v>
      </x:c>
      <x:c r="U127" s="2922" t="str">
        <x:f>IF(AND(ISNUMBER(M127),ISNUMBER(T127)),(M127-T127)*100,"")</x:f>
      </x:c>
      <x:c r="V127" s="2979" t="n"/>
      <x:c r="W127" s="2920" t="n"/>
      <x:c r="X127" s="2920" t="n"/>
      <x:c r="Y127" s="2959" t="n"/>
      <x:c r="Z127" s="2920" t="n"/>
      <x:c r="AA127" s="2937" t="n"/>
      <x:c r="AB127" s="2939" t="inlineStr">
        <x:is>
          <x:t xml:space="preserve">COMPILE_FAIL</x:t>
        </x:is>
      </x:c>
      <x:c r="AC127" s="2930" t="inlineStr">
        <x:is>
          <x:t xml:space="preserve">容量超限：完整 SharedTile 足迹 &gt; 256 KiB；本轮 model-main 9b3a4405 + 8参数(256KB ShareTReg) 2026-09-22</x:t>
        </x:is>
      </x:c>
    </x:row>
    <x:row r="128" ht="24" customHeight="1">
      <x:c r="A128" s="2805" t="inlineStr">
        <x:is>
          <x:t xml:space="preserve">▌ S3  —  256×128×7168</x:t>
        </x:is>
      </x:c>
      <x:c r="B128" s="2961" t="n"/>
      <x:c r="C128" s="2961" t="n"/>
      <x:c r="D128" s="2961" t="n"/>
      <x:c r="E128" s="2961" t="n"/>
      <x:c r="F128" s="2961" t="n"/>
      <x:c r="G128" s="2961" t="n"/>
      <x:c r="H128" s="2962" t="n"/>
      <x:c r="I128" s="2962" t="n"/>
      <x:c r="J128" s="2962" t="n"/>
      <x:c r="K128" s="2963"/>
      <x:c r="L128" s="2961" t="n"/>
      <x:c r="M128" s="2809" t="n"/>
      <x:c r="N128" s="2961" t="n"/>
      <x:c r="O128" s="2810" t="n"/>
      <x:c r="P128" s="2811" t="n"/>
      <x:c r="Q128" s="2811" t="n"/>
      <x:c r="R128" s="2809" t="n"/>
      <x:c r="S128" s="2809" t="n"/>
      <x:c r="T128" s="2809" t="n"/>
      <x:c r="U128" s="2811" t="n"/>
      <x:c r="V128" s="2961" t="n"/>
      <x:c r="W128" s="2809" t="n"/>
      <x:c r="X128" s="2809" t="n"/>
      <x:c r="Y128" s="2953" t="n"/>
      <x:c r="Z128" s="2809" t="n"/>
      <x:c r="AA128" s="2805" t="n"/>
      <x:c r="AB128" s="2805" t="n"/>
      <x:c r="AC128" s="2805" t="n"/>
    </x:row>
    <x:row r="129" ht="20" customHeight="1">
      <x:c r="A129" s="2822" t="inlineStr">
        <x:is>
          <x:t xml:space="preserve">FP32</x:t>
        </x:is>
      </x:c>
      <x:c r="B129" s="2964" t="n"/>
      <x:c r="C129" s="2964" t="n"/>
      <x:c r="D129" s="2964" t="n"/>
      <x:c r="E129" s="2964" t="n"/>
      <x:c r="F129" s="2964" t="n"/>
      <x:c r="G129" s="2964" t="n"/>
      <x:c r="H129" s="2965" t="n"/>
      <x:c r="I129" s="2965" t="n"/>
      <x:c r="J129" s="2965" t="n"/>
      <x:c r="K129" s="2966"/>
      <x:c r="L129" s="2964" t="n"/>
      <x:c r="M129" s="2826" t="str"/>
      <x:c r="N129" s="2964" t="str"/>
      <x:c r="O129" s="2827" t="str"/>
      <x:c r="P129" s="2828" t="str"/>
      <x:c r="Q129" s="2828" t="str"/>
      <x:c r="R129" s="2826" t="str"/>
      <x:c r="S129" s="2826" t="str"/>
      <x:c r="T129" s="2826" t="str"/>
      <x:c r="U129" s="2828" t="str"/>
      <x:c r="V129" s="2964" t="n"/>
      <x:c r="W129" s="2826" t="n"/>
      <x:c r="X129" s="2826" t="n"/>
      <x:c r="Y129" s="2954" t="n"/>
      <x:c r="Z129" s="2826" t="n"/>
      <x:c r="AA129" s="2822" t="n"/>
      <x:c r="AB129" s="2822" t="n"/>
      <x:c r="AC129" s="2822" t="n"/>
    </x:row>
    <x:row r="130" ht="20" customHeight="1">
      <x:c r="A130" s="2841" t="inlineStr">
        <x:is>
          <x:t xml:space="preserve">FP32</x:t>
        </x:is>
      </x:c>
      <x:c r="B130" s="2967" t="n">
        <x:v>256</x:v>
      </x:c>
      <x:c r="C130" s="2967" t="n">
        <x:v>128</x:v>
      </x:c>
      <x:c r="D130" s="2967" t="n">
        <x:v>7168</x:v>
      </x:c>
      <x:c r="E130" s="2967" t="n">
        <x:v>128</x:v>
      </x:c>
      <x:c r="F130" s="2967" t="n">
        <x:v>64</x:v>
      </x:c>
      <x:c r="G130" s="2967" t="n">
        <x:v>64</x:v>
      </x:c>
      <x:c r="H130" s="2968" t="n">
        <x:v>32</x:v>
      </x:c>
      <x:c r="I130" s="2968" t="n">
        <x:v>16</x:v>
      </x:c>
      <x:c r="J130" s="2968" t="n">
        <x:v>48</x:v>
      </x:c>
      <x:c r="K130" s="2969" t="n">
        <x:v>128</x:v>
      </x:c>
      <x:c r="L130" s="2967" t="n">
        <x:v>269113</x:v>
      </x:c>
      <x:c r="M130" s="2845" t="n">
        <x:f>IF(AND(ISNUMBER(L130),L130&gt;0),ROUND(B130*C130*D130/2048/L130*100,1)/100,"")</x:f>
        <x:v>0.426</x:v>
      </x:c>
      <x:c r="N130" s="2967" t="n">
        <x:f>IF(OR(B130="",C130="",D130="",E130="",F130="",G130=""),"",ROUNDUP(B130/MIN(E130,128),0)*(C130/F130)*(D130/G130)*((MIN(B130,MIN(E130,128))+F130)*G130*4/1024))</x:f>
        <x:v>21504</x:v>
      </x:c>
      <x:c r="O130" s="2846" t="n">
        <x:f>IF(AND(ISNUMBER(N130),ISNUMBER(K130),K130&gt;0),N130*1024/K130,"")</x:f>
        <x:v>172032</x:v>
      </x:c>
      <x:c r="P130" s="2847" t="n">
        <x:f>IF(OR(E130="",F130="",G130=""),"",((H130+I130)*1024)/(E130*F130*G130/2048))</x:f>
        <x:v>192</x:v>
      </x:c>
      <x:c r="Q130" s="2847" t="n">
        <x:f>IF(OR(E130="",F130="",G130=""),"",(E130*F130*4)/(E130*F130*G130/2048))</x:f>
        <x:v>128</x:v>
      </x:c>
      <x:c r="R130" s="2845" t="n">
        <x:f>IF(AND(ISNUMBER(K130),K130&gt;0,ISNUMBER(P130),P130&gt;0),MIN(1,K130/P130),"")</x:f>
        <x:v>0.6666666666666666</x:v>
      </x:c>
      <x:c r="S130" s="2845" t="n">
        <x:f>IF(AND(ISNUMBER(K130),K130&gt;0,ISNUMBER(Q130),Q130&gt;0),MIN(1,K130/Q130),"")</x:f>
        <x:v>1</x:v>
      </x:c>
      <x:c r="T130" s="2845" t="n">
        <x:f>IF(AND(ISNUMBER(R130),ISNUMBER(S130)),MIN(R130,S130),"")</x:f>
        <x:v>0.6666666666666666</x:v>
      </x:c>
      <x:c r="U130" s="2847" t="n">
        <x:f>IF(AND(ISNUMBER(M130),ISNUMBER(T130)),(M130-T130)*100,"")</x:f>
        <x:v>-24.066666666666663</x:v>
      </x:c>
      <x:c r="V130" s="2967" t="n">
        <x:v>135042</x:v>
      </x:c>
      <x:c r="W130" s="2845" t="n">
        <x:v>0.849</x:v>
      </x:c>
      <x:c r="X130" s="2845" t="n">
        <x:f>IF(AND(ISNUMBER(L130),ISNUMBER(V130),L130&gt;0,V130&gt;0),(L130-V130)/L130,"")</x:f>
        <x:v>0.4981959251318219</x:v>
      </x:c>
      <x:c r="Y130" s="2955" t="n">
        <x:f>IF(AND(ISNUMBER(L130),ISNUMBER(V130),L130&gt;0,V130&gt;0),L130/V130,"")</x:f>
        <x:v>1.9928096444069252</x:v>
      </x:c>
      <x:c r="Z130" s="2845" t="n">
        <x:f>IF(AND(ISNUMBER(C130),ISNUMBER(F130),C130&gt;0,F130&gt;0),1-F130/C130,"")</x:f>
        <x:v>0.5</x:v>
      </x:c>
      <x:c r="AA130" s="2931" t="inlineStr">
        <x:is>
          <x:t xml:space="preserve">PASS</x:t>
        </x:is>
      </x:c>
      <x:c r="AB130" s="2931" t="inlineStr">
        <x:is>
          <x:t xml:space="preserve">PASS</x:t>
        </x:is>
      </x:c>
      <x:c r="AC130" s="2855" t="inlineStr">
        <x:is>
          <x:t xml:space="preserve">本轮 model-main ae058a98 + 6参数(无SoC带宽/延迟) 2026-09-26</x:t>
        </x:is>
      </x:c>
    </x:row>
    <x:row r="131" ht="20" customHeight="1">
      <x:c r="A131" s="2943" t="inlineStr">
        <x:is>
          <x:t xml:space="preserve">FP32</x:t>
        </x:is>
      </x:c>
      <x:c r="B131" s="2970" t="n">
        <x:v>256</x:v>
      </x:c>
      <x:c r="C131" s="2970" t="n">
        <x:v>128</x:v>
      </x:c>
      <x:c r="D131" s="2970" t="n">
        <x:v>7168</x:v>
      </x:c>
      <x:c r="E131" s="2970" t="n">
        <x:v>128</x:v>
      </x:c>
      <x:c r="F131" s="2970" t="n">
        <x:v>64</x:v>
      </x:c>
      <x:c r="G131" s="2970" t="n">
        <x:v>128</x:v>
      </x:c>
      <x:c r="H131" s="2971" t="n">
        <x:v>64</x:v>
      </x:c>
      <x:c r="I131" s="2971" t="n">
        <x:v>32</x:v>
      </x:c>
      <x:c r="J131" s="2971" t="n">
        <x:v>96</x:v>
      </x:c>
      <x:c r="K131" s="2972" t="n">
        <x:v>128</x:v>
      </x:c>
      <x:c r="L131" s="2970" t="n">
        <x:v>269469</x:v>
      </x:c>
      <x:c r="M131" s="2947" t="n">
        <x:f>IF(AND(ISNUMBER(L131),L131&gt;0),ROUND(B131*C131*D131/2048/L131*100,1)/100,"")</x:f>
        <x:v>0.426</x:v>
      </x:c>
      <x:c r="N131" s="2970" t="n">
        <x:f>IF(OR(B131="",C131="",D131="",E131="",F131="",G131=""),"",ROUNDUP(B131/MIN(E131,128),0)*(C131/F131)*(D131/G131)*((MIN(B131,MIN(E131,128))+F131)*G131*4/1024))</x:f>
        <x:v>21504</x:v>
      </x:c>
      <x:c r="O131" s="2948" t="n">
        <x:f>IF(AND(ISNUMBER(N131),ISNUMBER(K131),K131&gt;0),N131*1024/K131,"")</x:f>
        <x:v>172032</x:v>
      </x:c>
      <x:c r="P131" s="2949" t="n">
        <x:f>IF(OR(E131="",F131="",G131=""),"",((H131+I131)*1024)/(E131*F131*G131/2048))</x:f>
        <x:v>192</x:v>
      </x:c>
      <x:c r="Q131" s="2949" t="n">
        <x:f>IF(OR(E131="",F131="",G131=""),"",(E131*F131*4)/(E131*F131*G131/2048))</x:f>
        <x:v>64</x:v>
      </x:c>
      <x:c r="R131" s="2947" t="n">
        <x:f>IF(AND(ISNUMBER(K131),K131&gt;0,ISNUMBER(P131),P131&gt;0),MIN(1,K131/P131),"")</x:f>
        <x:v>0.6666666666666666</x:v>
      </x:c>
      <x:c r="S131" s="2947" t="n">
        <x:f>IF(AND(ISNUMBER(K131),K131&gt;0,ISNUMBER(Q131),Q131&gt;0),MIN(1,K131/Q131),"")</x:f>
        <x:v>1</x:v>
      </x:c>
      <x:c r="T131" s="2947" t="n">
        <x:f>IF(AND(ISNUMBER(R131),ISNUMBER(S131)),MIN(R131,S131),"")</x:f>
        <x:v>0.6666666666666666</x:v>
      </x:c>
      <x:c r="U131" s="2949" t="n">
        <x:f>IF(AND(ISNUMBER(M131),ISNUMBER(T131)),(M131-T131)*100,"")</x:f>
        <x:v>-24.066666666666663</x:v>
      </x:c>
      <x:c r="V131" s="2970" t="n">
        <x:v>117369</x:v>
      </x:c>
      <x:c r="W131" s="2947" t="n">
        <x:v>0.977</x:v>
      </x:c>
      <x:c r="X131" s="2947" t="n">
        <x:f>IF(AND(ISNUMBER(L131),ISNUMBER(V131),L131&gt;0,V131&gt;0),(L131-V131)/L131,"")</x:f>
        <x:v>0.5644434053638823</x:v>
      </x:c>
      <x:c r="Y131" s="2956" t="n">
        <x:f>IF(AND(ISNUMBER(L131),ISNUMBER(V131),L131&gt;0,V131&gt;0),L131/V131,"")</x:f>
        <x:v>2.2959128901157886</x:v>
      </x:c>
      <x:c r="Z131" s="2947" t="n">
        <x:f>IF(AND(ISNUMBER(C131),ISNUMBER(F131),C131&gt;0,F131&gt;0),1-F131/C131,"")</x:f>
        <x:v>0.5</x:v>
      </x:c>
      <x:c r="AA131" s="2951" t="inlineStr">
        <x:is>
          <x:t xml:space="preserve">PASS</x:t>
        </x:is>
      </x:c>
      <x:c r="AB131" s="2951" t="inlineStr">
        <x:is>
          <x:t xml:space="preserve">PASS</x:t>
        </x:is>
      </x:c>
      <x:c r="AC131" s="2952" t="inlineStr">
        <x:is>
          <x:t xml:space="preserve">本轮 model-main ae058a98 + 6参数(无SoC带宽/延迟) 2026-09-26</x:t>
        </x:is>
      </x:c>
    </x:row>
    <x:row r="132" ht="20" customHeight="1">
      <x:c r="A132" s="2841" t="inlineStr">
        <x:is>
          <x:t xml:space="preserve">FP32</x:t>
        </x:is>
      </x:c>
      <x:c r="B132" s="2967" t="n">
        <x:v>256</x:v>
      </x:c>
      <x:c r="C132" s="2967" t="n">
        <x:v>128</x:v>
      </x:c>
      <x:c r="D132" s="2967" t="n">
        <x:v>7168</x:v>
      </x:c>
      <x:c r="E132" s="2967" t="n">
        <x:v>128</x:v>
      </x:c>
      <x:c r="F132" s="2967" t="n">
        <x:v>64</x:v>
      </x:c>
      <x:c r="G132" s="2967" t="n">
        <x:v>256</x:v>
      </x:c>
      <x:c r="H132" s="2968" t="n">
        <x:v>128</x:v>
      </x:c>
      <x:c r="I132" s="2968" t="n">
        <x:v>64</x:v>
      </x:c>
      <x:c r="J132" s="2968" t="n">
        <x:v>192</x:v>
      </x:c>
      <x:c r="K132" s="2969" t="n">
        <x:v>128</x:v>
      </x:c>
      <x:c r="L132" s="2967" t="n">
        <x:v>539910</x:v>
      </x:c>
      <x:c r="M132" s="2845" t="n">
        <x:f>IF(AND(ISNUMBER(L132),L132&gt;0),ROUND(B132*C132*D132/2048/L132*100,1)/100,"")</x:f>
        <x:v>0.212</x:v>
      </x:c>
      <x:c r="N132" s="2967" t="n">
        <x:f>IF(OR(B132="",C132="",D132="",E132="",F132="",G132=""),"",ROUNDUP(B132/MIN(E132,128),0)*(C132/F132)*(D132/G132)*((MIN(B132,MIN(E132,128))+F132)*G132*4/1024))</x:f>
        <x:v>21504</x:v>
      </x:c>
      <x:c r="O132" s="2846" t="n">
        <x:f>IF(AND(ISNUMBER(N132),ISNUMBER(K132),K132&gt;0),N132*1024/K132,"")</x:f>
        <x:v>172032</x:v>
      </x:c>
      <x:c r="P132" s="2847" t="n">
        <x:f>IF(OR(E132="",F132="",G132=""),"",((H132+I132)*1024)/(E132*F132*G132/2048))</x:f>
        <x:v>192</x:v>
      </x:c>
      <x:c r="Q132" s="2847" t="n">
        <x:f>IF(OR(E132="",F132="",G132=""),"",(E132*F132*4)/(E132*F132*G132/2048))</x:f>
        <x:v>32</x:v>
      </x:c>
      <x:c r="R132" s="2845" t="n">
        <x:f>IF(AND(ISNUMBER(K132),K132&gt;0,ISNUMBER(P132),P132&gt;0),MIN(1,K132/P132),"")</x:f>
        <x:v>0.6666666666666666</x:v>
      </x:c>
      <x:c r="S132" s="2845" t="n">
        <x:f>IF(AND(ISNUMBER(K132),K132&gt;0,ISNUMBER(Q132),Q132&gt;0),MIN(1,K132/Q132),"")</x:f>
        <x:v>1</x:v>
      </x:c>
      <x:c r="T132" s="2845" t="n">
        <x:f>IF(AND(ISNUMBER(R132),ISNUMBER(S132)),MIN(R132,S132),"")</x:f>
        <x:v>0.6666666666666666</x:v>
      </x:c>
      <x:c r="U132" s="2847" t="n">
        <x:f>IF(AND(ISNUMBER(M132),ISNUMBER(T132)),(M132-T132)*100,"")</x:f>
        <x:v>-45.46666666666667</x:v>
      </x:c>
      <x:c r="V132" s="2967" t="n">
        <x:v>330193</x:v>
      </x:c>
      <x:c r="W132" s="2845" t="n">
        <x:v>0.347</x:v>
      </x:c>
      <x:c r="X132" s="2845" t="n">
        <x:f>IF(AND(ISNUMBER(L132),ISNUMBER(V132),L132&gt;0,V132&gt;0),(L132-V132)/L132,"")</x:f>
        <x:v>0.38842955307366045</x:v>
      </x:c>
      <x:c r="Y132" s="2955" t="n">
        <x:f>IF(AND(ISNUMBER(L132),ISNUMBER(V132),L132&gt;0,V132&gt;0),L132/V132,"")</x:f>
        <x:v>1.6351346030957652</x:v>
      </x:c>
      <x:c r="Z132" s="2845" t="n">
        <x:f>IF(AND(ISNUMBER(C132),ISNUMBER(F132),C132&gt;0,F132&gt;0),1-F132/C132,"")</x:f>
        <x:v>0.5</x:v>
      </x:c>
      <x:c r="AA132" s="2931" t="inlineStr">
        <x:is>
          <x:t xml:space="preserve">PASS</x:t>
        </x:is>
      </x:c>
      <x:c r="AB132" s="2931" t="inlineStr">
        <x:is>
          <x:t xml:space="preserve">PASS</x:t>
        </x:is>
      </x:c>
      <x:c r="AC132" s="2855" t="inlineStr">
        <x:is>
          <x:t xml:space="preserve">本轮 model-main ae058a98 + 6参数(无SoC带宽/延迟) 2026-09-26</x:t>
        </x:is>
      </x:c>
    </x:row>
    <x:row r="133" ht="20" customHeight="1">
      <x:c r="A133" s="2841" t="inlineStr">
        <x:is>
          <x:t xml:space="preserve">FP32</x:t>
        </x:is>
      </x:c>
      <x:c r="B133" s="2967" t="n">
        <x:v>256</x:v>
      </x:c>
      <x:c r="C133" s="2967" t="n">
        <x:v>128</x:v>
      </x:c>
      <x:c r="D133" s="2967" t="n">
        <x:v>7168</x:v>
      </x:c>
      <x:c r="E133" s="2967" t="n">
        <x:v>128</x:v>
      </x:c>
      <x:c r="F133" s="2967" t="n">
        <x:v>64</x:v>
      </x:c>
      <x:c r="G133" s="2967" t="n">
        <x:v>512</x:v>
      </x:c>
      <x:c r="H133" s="2968" t="n">
        <x:v>256</x:v>
      </x:c>
      <x:c r="I133" s="2968" t="n">
        <x:v>128</x:v>
      </x:c>
      <x:c r="J133" s="2968" t="n">
        <x:v>384</x:v>
      </x:c>
      <x:c r="K133" s="2969" t="n">
        <x:v>128</x:v>
      </x:c>
      <x:c r="L133" s="2967" t="inlineStr">
        <x:is>
          <x:t xml:space="preserve">—</x:t>
        </x:is>
      </x:c>
      <x:c r="M133" s="2845" t="str">
        <x:f>IF(AND(ISNUMBER(L133),L133&gt;0),ROUND(B133*C133*D133/2048/L133*100,1)/100,"")</x:f>
      </x:c>
      <x:c r="N133" s="2967" t="n">
        <x:f>IF(OR(B133="",C133="",D133="",E133="",F133="",G133=""),"",ROUNDUP(B133/MIN(E133,128),0)*(C133/F133)*(D133/G133)*((MIN(B133,MIN(E133,128))+F133)*G133*4/1024))</x:f>
        <x:v>21504</x:v>
      </x:c>
      <x:c r="O133" s="2846" t="n">
        <x:f>IF(AND(ISNUMBER(N133),ISNUMBER(K133),K133&gt;0),N133*1024/K133,"")</x:f>
        <x:v>172032</x:v>
      </x:c>
      <x:c r="P133" s="2847" t="n">
        <x:f>IF(OR(E133="",F133="",G133=""),"",((H133+I133)*1024)/(E133*F133*G133/2048))</x:f>
        <x:v>192</x:v>
      </x:c>
      <x:c r="Q133" s="2847" t="n">
        <x:f>IF(OR(E133="",F133="",G133=""),"",(E133*F133*4)/(E133*F133*G133/2048))</x:f>
        <x:v>16</x:v>
      </x:c>
      <x:c r="R133" s="2845" t="n">
        <x:f>IF(AND(ISNUMBER(K133),K133&gt;0,ISNUMBER(P133),P133&gt;0),MIN(1,K133/P133),"")</x:f>
        <x:v>0.6666666666666666</x:v>
      </x:c>
      <x:c r="S133" s="2845" t="n">
        <x:f>IF(AND(ISNUMBER(K133),K133&gt;0,ISNUMBER(Q133),Q133&gt;0),MIN(1,K133/Q133),"")</x:f>
        <x:v>1</x:v>
      </x:c>
      <x:c r="T133" s="2845" t="n">
        <x:f>IF(AND(ISNUMBER(R133),ISNUMBER(S133)),MIN(R133,S133),"")</x:f>
        <x:v>0.6666666666666666</x:v>
      </x:c>
      <x:c r="U133" s="2847" t="str">
        <x:f>IF(AND(ISNUMBER(M133),ISNUMBER(T133)),(M133-T133)*100,"")</x:f>
      </x:c>
      <x:c r="V133" s="2967" t="inlineStr">
        <x:is>
          <x:t xml:space="preserve">—</x:t>
        </x:is>
      </x:c>
      <x:c r="W133" s="2845" t="n"/>
      <x:c r="X133" s="2845" t="n"/>
      <x:c r="Y133" s="2955" t="n"/>
      <x:c r="Z133" s="2845" t="n"/>
      <x:c r="AA133" s="2932" t="inlineStr">
        <x:is>
          <x:t xml:space="preserve">DEADLOCK</x:t>
        </x:is>
      </x:c>
      <x:c r="AB133" s="2932" t="inlineStr">
        <x:is>
          <x:t xml:space="preserve">COMPILE_FAIL</x:t>
        </x:is>
      </x:c>
      <x:c r="AC133" s="2855" t="inlineStr">
        <x:is>
          <x:t xml:space="preserve">容量超限：完整 SharedTile 足迹 &gt; 256 KiB；本轮 model-main 9b3a4405 + 8参数(256KB ShareTReg) 2026-09-22</x:t>
        </x:is>
      </x:c>
    </x:row>
    <x:row r="134" ht="20" customHeight="1">
      <x:c r="A134" s="2841" t="inlineStr">
        <x:is>
          <x:t xml:space="preserve">FP32</x:t>
        </x:is>
      </x:c>
      <x:c r="B134" s="2967" t="n">
        <x:v>256</x:v>
      </x:c>
      <x:c r="C134" s="2967" t="n">
        <x:v>128</x:v>
      </x:c>
      <x:c r="D134" s="2967" t="n">
        <x:v>7168</x:v>
      </x:c>
      <x:c r="E134" s="2967" t="n">
        <x:v>128</x:v>
      </x:c>
      <x:c r="F134" s="2967" t="n">
        <x:v>128</x:v>
      </x:c>
      <x:c r="G134" s="2967" t="n">
        <x:v>64</x:v>
      </x:c>
      <x:c r="H134" s="2968" t="n">
        <x:v>32</x:v>
      </x:c>
      <x:c r="I134" s="2968" t="n">
        <x:v>32</x:v>
      </x:c>
      <x:c r="J134" s="2968" t="n">
        <x:v>64</x:v>
      </x:c>
      <x:c r="K134" s="2969" t="n">
        <x:v>128</x:v>
      </x:c>
      <x:c r="L134" s="2967" t="n">
        <x:v>179959</x:v>
      </x:c>
      <x:c r="M134" s="2845" t="n">
        <x:f>IF(AND(ISNUMBER(L134),L134&gt;0),ROUND(B134*C134*D134/2048/L134*100,1)/100,"")</x:f>
        <x:v>0.637</x:v>
      </x:c>
      <x:c r="N134" s="2967" t="n">
        <x:f>IF(OR(B134="",C134="",D134="",E134="",F134="",G134=""),"",ROUNDUP(B134/MIN(E134,128),0)*(C134/F134)*(D134/G134)*((MIN(B134,MIN(E134,128))+F134)*G134*4/1024))</x:f>
        <x:v>14336</x:v>
      </x:c>
      <x:c r="O134" s="2846" t="n">
        <x:f>IF(AND(ISNUMBER(N134),ISNUMBER(K134),K134&gt;0),N134*1024/K134,"")</x:f>
        <x:v>114688</x:v>
      </x:c>
      <x:c r="P134" s="2847" t="n">
        <x:f>IF(OR(E134="",F134="",G134=""),"",((H134+I134)*1024)/(E134*F134*G134/2048))</x:f>
        <x:v>128</x:v>
      </x:c>
      <x:c r="Q134" s="2847" t="n">
        <x:f>IF(OR(E134="",F134="",G134=""),"",(E134*F134*4)/(E134*F134*G134/2048))</x:f>
        <x:v>128</x:v>
      </x:c>
      <x:c r="R134" s="2845" t="n">
        <x:f>IF(AND(ISNUMBER(K134),K134&gt;0,ISNUMBER(P134),P134&gt;0),MIN(1,K134/P134),"")</x:f>
        <x:v>1</x:v>
      </x:c>
      <x:c r="S134" s="2845" t="n">
        <x:f>IF(AND(ISNUMBER(K134),K134&gt;0,ISNUMBER(Q134),Q134&gt;0),MIN(1,K134/Q134),"")</x:f>
        <x:v>1</x:v>
      </x:c>
      <x:c r="T134" s="2845" t="n">
        <x:f>IF(AND(ISNUMBER(R134),ISNUMBER(S134)),MIN(R134,S134),"")</x:f>
        <x:v>1</x:v>
      </x:c>
      <x:c r="U134" s="2847" t="n">
        <x:f>IF(AND(ISNUMBER(M134),ISNUMBER(T134)),(M134-T134)*100,"")</x:f>
        <x:v>-36.3</x:v>
      </x:c>
      <x:c r="V134" s="2967" t="n">
        <x:v>137047</x:v>
      </x:c>
      <x:c r="W134" s="2845" t="n">
        <x:v>0.837</x:v>
      </x:c>
      <x:c r="X134" s="2845" t="n">
        <x:f>IF(AND(ISNUMBER(L134),ISNUMBER(V134),L134&gt;0,V134&gt;0),(L134-V134)/L134,"")</x:f>
        <x:v>0.23845431459387972</x:v>
      </x:c>
      <x:c r="Y134" s="2955" t="n">
        <x:f>IF(AND(ISNUMBER(L134),ISNUMBER(V134),L134&gt;0,V134&gt;0),L134/V134,"")</x:f>
        <x:v>1.313118857034448</x:v>
      </x:c>
      <x:c r="Z134" s="2845" t="n">
        <x:f>IF(AND(ISNUMBER(C134),ISNUMBER(F134),C134&gt;0,F134&gt;0),1-F134/C134,"")</x:f>
        <x:v>0</x:v>
      </x:c>
      <x:c r="AA134" s="2931" t="inlineStr">
        <x:is>
          <x:t xml:space="preserve">PASS</x:t>
        </x:is>
      </x:c>
      <x:c r="AB134" s="2931" t="inlineStr">
        <x:is>
          <x:t xml:space="preserve">PASS</x:t>
        </x:is>
      </x:c>
      <x:c r="AC134" s="2855" t="inlineStr">
        <x:is>
          <x:t xml:space="preserve">本轮 model-main ae058a98 + 6参数(无SoC带宽/延迟) 2026-09-26</x:t>
        </x:is>
      </x:c>
    </x:row>
    <x:row r="135" ht="20" customHeight="1">
      <x:c r="A135" s="2841" t="inlineStr">
        <x:is>
          <x:t xml:space="preserve">FP32</x:t>
        </x:is>
      </x:c>
      <x:c r="B135" s="2967" t="n">
        <x:v>256</x:v>
      </x:c>
      <x:c r="C135" s="2967" t="n">
        <x:v>128</x:v>
      </x:c>
      <x:c r="D135" s="2967" t="n">
        <x:v>7168</x:v>
      </x:c>
      <x:c r="E135" s="2967" t="n">
        <x:v>128</x:v>
      </x:c>
      <x:c r="F135" s="2967" t="n">
        <x:v>128</x:v>
      </x:c>
      <x:c r="G135" s="2967" t="n">
        <x:v>128</x:v>
      </x:c>
      <x:c r="H135" s="2968" t="n">
        <x:v>64</x:v>
      </x:c>
      <x:c r="I135" s="2968" t="n">
        <x:v>64</x:v>
      </x:c>
      <x:c r="J135" s="2968" t="n">
        <x:v>128</x:v>
      </x:c>
      <x:c r="K135" s="2969" t="n">
        <x:v>128</x:v>
      </x:c>
      <x:c r="L135" s="2967" t="n">
        <x:v>191737</x:v>
      </x:c>
      <x:c r="M135" s="2845" t="n">
        <x:f>IF(AND(ISNUMBER(L135),L135&gt;0),ROUND(B135*C135*D135/2048/L135*100,1)/100,"")</x:f>
        <x:v>0.598</x:v>
      </x:c>
      <x:c r="N135" s="2967" t="n">
        <x:f>IF(OR(B135="",C135="",D135="",E135="",F135="",G135=""),"",ROUNDUP(B135/MIN(E135,128),0)*(C135/F135)*(D135/G135)*((MIN(B135,MIN(E135,128))+F135)*G135*4/1024))</x:f>
        <x:v>14336</x:v>
      </x:c>
      <x:c r="O135" s="2846" t="n">
        <x:f>IF(AND(ISNUMBER(N135),ISNUMBER(K135),K135&gt;0),N135*1024/K135,"")</x:f>
        <x:v>114688</x:v>
      </x:c>
      <x:c r="P135" s="2847" t="n">
        <x:f>IF(OR(E135="",F135="",G135=""),"",((H135+I135)*1024)/(E135*F135*G135/2048))</x:f>
        <x:v>128</x:v>
      </x:c>
      <x:c r="Q135" s="2847" t="n">
        <x:f>IF(OR(E135="",F135="",G135=""),"",(E135*F135*4)/(E135*F135*G135/2048))</x:f>
        <x:v>64</x:v>
      </x:c>
      <x:c r="R135" s="2845" t="n">
        <x:f>IF(AND(ISNUMBER(K135),K135&gt;0,ISNUMBER(P135),P135&gt;0),MIN(1,K135/P135),"")</x:f>
        <x:v>1</x:v>
      </x:c>
      <x:c r="S135" s="2845" t="n">
        <x:f>IF(AND(ISNUMBER(K135),K135&gt;0,ISNUMBER(Q135),Q135&gt;0),MIN(1,K135/Q135),"")</x:f>
        <x:v>1</x:v>
      </x:c>
      <x:c r="T135" s="2845" t="n">
        <x:f>IF(AND(ISNUMBER(R135),ISNUMBER(S135)),MIN(R135,S135),"")</x:f>
        <x:v>1</x:v>
      </x:c>
      <x:c r="U135" s="2847" t="n">
        <x:f>IF(AND(ISNUMBER(M135),ISNUMBER(T135)),(M135-T135)*100,"")</x:f>
        <x:v>-40.2</x:v>
      </x:c>
      <x:c r="V135" s="2967" t="n">
        <x:v>126562</x:v>
      </x:c>
      <x:c r="W135" s="2845" t="n">
        <x:v>0.906</x:v>
      </x:c>
      <x:c r="X135" s="2845" t="n">
        <x:f>IF(AND(ISNUMBER(L135),ISNUMBER(V135),L135&gt;0,V135&gt;0),(L135-V135)/L135,"")</x:f>
        <x:v>0.33991874286131524</x:v>
      </x:c>
      <x:c r="Y135" s="2955" t="n">
        <x:f>IF(AND(ISNUMBER(L135),ISNUMBER(V135),L135&gt;0,V135&gt;0),L135/V135,"")</x:f>
        <x:v>1.5149649973925823</x:v>
      </x:c>
      <x:c r="Z135" s="2845" t="n">
        <x:f>IF(AND(ISNUMBER(C135),ISNUMBER(F135),C135&gt;0,F135&gt;0),1-F135/C135,"")</x:f>
        <x:v>0</x:v>
      </x:c>
      <x:c r="AA135" s="2931" t="inlineStr">
        <x:is>
          <x:t xml:space="preserve">PASS</x:t>
        </x:is>
      </x:c>
      <x:c r="AB135" s="2931" t="inlineStr">
        <x:is>
          <x:t xml:space="preserve">PASS</x:t>
        </x:is>
      </x:c>
      <x:c r="AC135" s="2855" t="inlineStr">
        <x:is>
          <x:t xml:space="preserve">本轮 model-main ae058a98 + 6参数(无SoC带宽/延迟) 2026-09-26</x:t>
        </x:is>
      </x:c>
    </x:row>
    <x:row r="136" ht="20" customHeight="1">
      <x:c r="A136" s="2841" t="inlineStr">
        <x:is>
          <x:t xml:space="preserve">FP32</x:t>
        </x:is>
      </x:c>
      <x:c r="B136" s="2967" t="n">
        <x:v>256</x:v>
      </x:c>
      <x:c r="C136" s="2967" t="n">
        <x:v>128</x:v>
      </x:c>
      <x:c r="D136" s="2967" t="n">
        <x:v>7168</x:v>
      </x:c>
      <x:c r="E136" s="2967" t="n">
        <x:v>128</x:v>
      </x:c>
      <x:c r="F136" s="2967" t="n">
        <x:v>128</x:v>
      </x:c>
      <x:c r="G136" s="2967" t="n">
        <x:v>256</x:v>
      </x:c>
      <x:c r="H136" s="2968" t="n">
        <x:v>128</x:v>
      </x:c>
      <x:c r="I136" s="2968" t="n">
        <x:v>128</x:v>
      </x:c>
      <x:c r="J136" s="2968" t="n">
        <x:v>256</x:v>
      </x:c>
      <x:c r="K136" s="2969" t="n">
        <x:v>128</x:v>
      </x:c>
      <x:c r="L136" s="2967" t="n">
        <x:v>371564</x:v>
      </x:c>
      <x:c r="M136" s="2845" t="n">
        <x:f>IF(AND(ISNUMBER(L136),L136&gt;0),ROUND(B136*C136*D136/2048/L136*100,1)/100,"")</x:f>
        <x:v>0.309</x:v>
      </x:c>
      <x:c r="N136" s="2967" t="n">
        <x:f>IF(OR(B136="",C136="",D136="",E136="",F136="",G136=""),"",ROUNDUP(B136/MIN(E136,128),0)*(C136/F136)*(D136/G136)*((MIN(B136,MIN(E136,128))+F136)*G136*4/1024))</x:f>
        <x:v>14336</x:v>
      </x:c>
      <x:c r="O136" s="2846" t="n">
        <x:f>IF(AND(ISNUMBER(N136),ISNUMBER(K136),K136&gt;0),N136*1024/K136,"")</x:f>
        <x:v>114688</x:v>
      </x:c>
      <x:c r="P136" s="2847" t="n">
        <x:f>IF(OR(E136="",F136="",G136=""),"",((H136+I136)*1024)/(E136*F136*G136/2048))</x:f>
        <x:v>128</x:v>
      </x:c>
      <x:c r="Q136" s="2847" t="n">
        <x:f>IF(OR(E136="",F136="",G136=""),"",(E136*F136*4)/(E136*F136*G136/2048))</x:f>
        <x:v>32</x:v>
      </x:c>
      <x:c r="R136" s="2845" t="n">
        <x:f>IF(AND(ISNUMBER(K136),K136&gt;0,ISNUMBER(P136),P136&gt;0),MIN(1,K136/P136),"")</x:f>
        <x:v>1</x:v>
      </x:c>
      <x:c r="S136" s="2845" t="n">
        <x:f>IF(AND(ISNUMBER(K136),K136&gt;0,ISNUMBER(Q136),Q136&gt;0),MIN(1,K136/Q136),"")</x:f>
        <x:v>1</x:v>
      </x:c>
      <x:c r="T136" s="2845" t="n">
        <x:f>IF(AND(ISNUMBER(R136),ISNUMBER(S136)),MIN(R136,S136),"")</x:f>
        <x:v>1</x:v>
      </x:c>
      <x:c r="U136" s="2847" t="n">
        <x:f>IF(AND(ISNUMBER(M136),ISNUMBER(T136)),(M136-T136)*100,"")</x:f>
        <x:v>-69.10000000000001</x:v>
      </x:c>
      <x:c r="V136" s="2967" t="n">
        <x:v>334966</x:v>
      </x:c>
      <x:c r="W136" s="2845" t="n">
        <x:v>0.342</x:v>
      </x:c>
      <x:c r="X136" s="2845" t="n">
        <x:f>IF(AND(ISNUMBER(L136),ISNUMBER(V136),L136&gt;0,V136&gt;0),(L136-V136)/L136,"")</x:f>
        <x:v>0.09849716334198146</x:v>
      </x:c>
      <x:c r="Y136" s="2955" t="n">
        <x:f>IF(AND(ISNUMBER(L136),ISNUMBER(V136),L136&gt;0,V136&gt;0),L136/V136,"")</x:f>
        <x:v>1.1092588501519558</x:v>
      </x:c>
      <x:c r="Z136" s="2845" t="n">
        <x:f>IF(AND(ISNUMBER(C136),ISNUMBER(F136),C136&gt;0,F136&gt;0),1-F136/C136,"")</x:f>
        <x:v>0</x:v>
      </x:c>
      <x:c r="AA136" s="2931" t="inlineStr">
        <x:is>
          <x:t xml:space="preserve">PASS</x:t>
        </x:is>
      </x:c>
      <x:c r="AB136" s="2931" t="inlineStr">
        <x:is>
          <x:t xml:space="preserve">PASS</x:t>
        </x:is>
      </x:c>
      <x:c r="AC136" s="2855" t="inlineStr">
        <x:is>
          <x:t xml:space="preserve">本轮 model-main ae058a98 + 6参数(无SoC带宽/延迟) 2026-09-26</x:t>
        </x:is>
      </x:c>
    </x:row>
    <x:row r="137" ht="20" customHeight="1">
      <x:c r="A137" s="2841" t="inlineStr">
        <x:is>
          <x:t xml:space="preserve">FP32</x:t>
        </x:is>
      </x:c>
      <x:c r="B137" s="2967" t="n">
        <x:v>256</x:v>
      </x:c>
      <x:c r="C137" s="2967" t="n">
        <x:v>128</x:v>
      </x:c>
      <x:c r="D137" s="2967" t="n">
        <x:v>7168</x:v>
      </x:c>
      <x:c r="E137" s="2967" t="n">
        <x:v>128</x:v>
      </x:c>
      <x:c r="F137" s="2967" t="n">
        <x:v>128</x:v>
      </x:c>
      <x:c r="G137" s="2967" t="n">
        <x:v>512</x:v>
      </x:c>
      <x:c r="H137" s="2968" t="n">
        <x:v>256</x:v>
      </x:c>
      <x:c r="I137" s="2968" t="n">
        <x:v>256</x:v>
      </x:c>
      <x:c r="J137" s="2968" t="n">
        <x:v>512</x:v>
      </x:c>
      <x:c r="K137" s="2969" t="n">
        <x:v>128</x:v>
      </x:c>
      <x:c r="L137" s="2967" t="inlineStr">
        <x:is>
          <x:t xml:space="preserve">—</x:t>
        </x:is>
      </x:c>
      <x:c r="M137" s="2845" t="str">
        <x:f>IF(AND(ISNUMBER(L137),L137&gt;0),ROUND(B137*C137*D137/2048/L137*100,1)/100,"")</x:f>
      </x:c>
      <x:c r="N137" s="2967" t="n">
        <x:f>IF(OR(B137="",C137="",D137="",E137="",F137="",G137=""),"",ROUNDUP(B137/MIN(E137,128),0)*(C137/F137)*(D137/G137)*((MIN(B137,MIN(E137,128))+F137)*G137*4/1024))</x:f>
        <x:v>14336</x:v>
      </x:c>
      <x:c r="O137" s="2846" t="n">
        <x:f>IF(AND(ISNUMBER(N137),ISNUMBER(K137),K137&gt;0),N137*1024/K137,"")</x:f>
        <x:v>114688</x:v>
      </x:c>
      <x:c r="P137" s="2847" t="n">
        <x:f>IF(OR(E137="",F137="",G137=""),"",((H137+I137)*1024)/(E137*F137*G137/2048))</x:f>
        <x:v>128</x:v>
      </x:c>
      <x:c r="Q137" s="2847" t="n">
        <x:f>IF(OR(E137="",F137="",G137=""),"",(E137*F137*4)/(E137*F137*G137/2048))</x:f>
        <x:v>16</x:v>
      </x:c>
      <x:c r="R137" s="2845" t="n">
        <x:f>IF(AND(ISNUMBER(K137),K137&gt;0,ISNUMBER(P137),P137&gt;0),MIN(1,K137/P137),"")</x:f>
        <x:v>1</x:v>
      </x:c>
      <x:c r="S137" s="2845" t="n">
        <x:f>IF(AND(ISNUMBER(K137),K137&gt;0,ISNUMBER(Q137),Q137&gt;0),MIN(1,K137/Q137),"")</x:f>
        <x:v>1</x:v>
      </x:c>
      <x:c r="T137" s="2845" t="n">
        <x:f>IF(AND(ISNUMBER(R137),ISNUMBER(S137)),MIN(R137,S137),"")</x:f>
        <x:v>1</x:v>
      </x:c>
      <x:c r="U137" s="2847" t="str">
        <x:f>IF(AND(ISNUMBER(M137),ISNUMBER(T137)),(M137-T137)*100,"")</x:f>
      </x:c>
      <x:c r="V137" s="2967" t="inlineStr">
        <x:is>
          <x:t xml:space="preserve">—</x:t>
        </x:is>
      </x:c>
      <x:c r="W137" s="2845" t="n"/>
      <x:c r="X137" s="2845" t="n"/>
      <x:c r="Y137" s="2955" t="n"/>
      <x:c r="Z137" s="2845" t="n"/>
      <x:c r="AA137" s="2932" t="inlineStr">
        <x:is>
          <x:t xml:space="preserve">DEADLOCK</x:t>
        </x:is>
      </x:c>
      <x:c r="AB137" s="2932" t="inlineStr">
        <x:is>
          <x:t xml:space="preserve">COMPILE_FAIL</x:t>
        </x:is>
      </x:c>
      <x:c r="AC137" s="2855" t="inlineStr">
        <x:is>
          <x:t xml:space="preserve">容量超限：完整 SharedTile 足迹 &gt; 256 KiB；本轮 model-main 9b3a4405 + 8参数(256KB ShareTReg) 2026-09-22</x:t>
        </x:is>
      </x:c>
    </x:row>
    <x:row r="138" ht="20" customHeight="1">
      <x:c r="A138" s="2822" t="inlineStr">
        <x:is>
          <x:t xml:space="preserve">BF16</x:t>
        </x:is>
      </x:c>
      <x:c r="B138" s="2964" t="n"/>
      <x:c r="C138" s="2964" t="n"/>
      <x:c r="D138" s="2964" t="n"/>
      <x:c r="E138" s="2964" t="n"/>
      <x:c r="F138" s="2964" t="n"/>
      <x:c r="G138" s="2964" t="n"/>
      <x:c r="H138" s="2965" t="n"/>
      <x:c r="I138" s="2965" t="n"/>
      <x:c r="J138" s="2965" t="n"/>
      <x:c r="K138" s="2966"/>
      <x:c r="L138" s="2964" t="n"/>
      <x:c r="M138" s="2826" t="str"/>
      <x:c r="N138" s="2964" t="str"/>
      <x:c r="O138" s="2827" t="str"/>
      <x:c r="P138" s="2828" t="str"/>
      <x:c r="Q138" s="2828" t="str"/>
      <x:c r="R138" s="2826" t="str"/>
      <x:c r="S138" s="2826" t="str"/>
      <x:c r="T138" s="2826" t="str"/>
      <x:c r="U138" s="2828" t="str"/>
      <x:c r="V138" s="2964" t="n"/>
      <x:c r="W138" s="2826" t="n"/>
      <x:c r="X138" s="2826" t="n"/>
      <x:c r="Y138" s="2954" t="n"/>
      <x:c r="Z138" s="2826" t="n"/>
      <x:c r="AA138" s="2822" t="n"/>
      <x:c r="AB138" s="2822" t="n"/>
      <x:c r="AC138" s="2822" t="n"/>
    </x:row>
    <x:row r="139" ht="20" customHeight="1">
      <x:c r="A139" s="2866" t="inlineStr">
        <x:is>
          <x:t xml:space="preserve">BF16</x:t>
        </x:is>
      </x:c>
      <x:c r="B139" s="2973" t="n">
        <x:v>256</x:v>
      </x:c>
      <x:c r="C139" s="2973" t="n">
        <x:v>128</x:v>
      </x:c>
      <x:c r="D139" s="2973" t="n">
        <x:v>7168</x:v>
      </x:c>
      <x:c r="E139" s="2973" t="n">
        <x:v>128</x:v>
      </x:c>
      <x:c r="F139" s="2973" t="n">
        <x:v>64</x:v>
      </x:c>
      <x:c r="G139" s="2973" t="n">
        <x:v>64</x:v>
      </x:c>
      <x:c r="H139" s="2974" t="n">
        <x:v>16</x:v>
      </x:c>
      <x:c r="I139" s="2974" t="n">
        <x:v>8</x:v>
      </x:c>
      <x:c r="J139" s="2974" t="n">
        <x:v>24</x:v>
      </x:c>
      <x:c r="K139" s="2975" t="n">
        <x:v>128</x:v>
      </x:c>
      <x:c r="L139" s="2973" t="n">
        <x:v>135507</x:v>
      </x:c>
      <x:c r="M139" s="2870" t="n">
        <x:f>IF(AND(ISNUMBER(L139),L139&gt;0),ROUND(B139*C139*D139/4096/L139*100,1)/100,"")</x:f>
        <x:v>0.423</x:v>
      </x:c>
      <x:c r="N139" s="2973" t="n">
        <x:f>IF(OR(B139="",C139="",D139="",E139="",F139="",G139=""),"",ROUNDUP(B139/MIN(E139,128),0)*(C139/F139)*(D139/G139)*((MIN(B139,MIN(E139,128))+F139)*G139*2/1024))</x:f>
        <x:v>10752</x:v>
      </x:c>
      <x:c r="O139" s="2871" t="n">
        <x:f>IF(AND(ISNUMBER(N139),ISNUMBER(K139),K139&gt;0),N139*1024/K139,"")</x:f>
        <x:v>86016</x:v>
      </x:c>
      <x:c r="P139" s="2872" t="n">
        <x:f>IF(OR(E139="",F139="",G139=""),"",((H139+I139)*1024)/(E139*F139*G139/4096))</x:f>
        <x:v>192</x:v>
      </x:c>
      <x:c r="Q139" s="2872" t="n">
        <x:f>IF(OR(E139="",F139="",G139=""),"",(E139*F139*4)/(E139*F139*G139/4096))</x:f>
        <x:v>256</x:v>
      </x:c>
      <x:c r="R139" s="2870" t="n">
        <x:f>IF(AND(ISNUMBER(K139),K139&gt;0,ISNUMBER(P139),P139&gt;0),MIN(1,K139/P139),"")</x:f>
        <x:v>0.6666666666666666</x:v>
      </x:c>
      <x:c r="S139" s="2870" t="n">
        <x:f>IF(AND(ISNUMBER(K139),K139&gt;0,ISNUMBER(Q139),Q139&gt;0),MIN(1,K139/Q139),"")</x:f>
        <x:v>0.5</x:v>
      </x:c>
      <x:c r="T139" s="2870" t="n">
        <x:f>IF(AND(ISNUMBER(R139),ISNUMBER(S139)),MIN(R139,S139),"")</x:f>
        <x:v>0.5</x:v>
      </x:c>
      <x:c r="U139" s="2872" t="n">
        <x:f>IF(AND(ISNUMBER(M139),ISNUMBER(T139)),(M139-T139)*100,"")</x:f>
        <x:v>-7.700000000000001</x:v>
      </x:c>
      <x:c r="V139" s="2973" t="n">
        <x:v>90547</x:v>
      </x:c>
      <x:c r="W139" s="2870" t="n">
        <x:v>1.267</x:v>
      </x:c>
      <x:c r="X139" s="2870" t="n">
        <x:f>IF(AND(ISNUMBER(L139),ISNUMBER(V139),L139&gt;0,V139&gt;0),(L139-V139)/L139,"")</x:f>
        <x:v>0.3317909775878737</x:v>
      </x:c>
      <x:c r="Y139" s="2957" t="n">
        <x:f>IF(AND(ISNUMBER(L139),ISNUMBER(V139),L139&gt;0,V139&gt;0),L139/V139,"")</x:f>
        <x:v>1.4965377096977261</x:v>
      </x:c>
      <x:c r="Z139" s="2870" t="n">
        <x:f>IF(AND(ISNUMBER(C139),ISNUMBER(F139),C139&gt;0,F139&gt;0),1-F139/C139,"")</x:f>
        <x:v>0.5</x:v>
      </x:c>
      <x:c r="AA139" s="2933" t="inlineStr">
        <x:is>
          <x:t xml:space="preserve">PASS</x:t>
        </x:is>
      </x:c>
      <x:c r="AB139" s="2933" t="inlineStr">
        <x:is>
          <x:t xml:space="preserve">PASS</x:t>
        </x:is>
      </x:c>
      <x:c r="AC139" s="2880" t="inlineStr">
        <x:is>
          <x:t xml:space="preserve">本轮 model-main ae058a98 + 6参数(无SoC带宽/延迟) 2026-09-26</x:t>
        </x:is>
      </x:c>
    </x:row>
    <x:row r="140" ht="20" customHeight="1">
      <x:c r="A140" s="2943" t="inlineStr">
        <x:is>
          <x:t xml:space="preserve">BF16</x:t>
        </x:is>
      </x:c>
      <x:c r="B140" s="2970" t="n">
        <x:v>256</x:v>
      </x:c>
      <x:c r="C140" s="2970" t="n">
        <x:v>128</x:v>
      </x:c>
      <x:c r="D140" s="2970" t="n">
        <x:v>7168</x:v>
      </x:c>
      <x:c r="E140" s="2970" t="n">
        <x:v>128</x:v>
      </x:c>
      <x:c r="F140" s="2970" t="n">
        <x:v>64</x:v>
      </x:c>
      <x:c r="G140" s="2970" t="n">
        <x:v>128</x:v>
      </x:c>
      <x:c r="H140" s="2971" t="n">
        <x:v>32</x:v>
      </x:c>
      <x:c r="I140" s="2971" t="n">
        <x:v>16</x:v>
      </x:c>
      <x:c r="J140" s="2971" t="n">
        <x:v>48</x:v>
      </x:c>
      <x:c r="K140" s="2972" t="n">
        <x:v>128</x:v>
      </x:c>
      <x:c r="L140" s="2970" t="n">
        <x:v>135602</x:v>
      </x:c>
      <x:c r="M140" s="2947" t="n">
        <x:f>IF(AND(ISNUMBER(L140),L140&gt;0),ROUND(B140*C140*D140/4096/L140*100,1)/100,"")</x:f>
        <x:v>0.423</x:v>
      </x:c>
      <x:c r="N140" s="2970" t="n">
        <x:f>IF(OR(B140="",C140="",D140="",E140="",F140="",G140=""),"",ROUNDUP(B140/MIN(E140,128),0)*(C140/F140)*(D140/G140)*((MIN(B140,MIN(E140,128))+F140)*G140*2/1024))</x:f>
        <x:v>10752</x:v>
      </x:c>
      <x:c r="O140" s="2948" t="n">
        <x:f>IF(AND(ISNUMBER(N140),ISNUMBER(K140),K140&gt;0),N140*1024/K140,"")</x:f>
        <x:v>86016</x:v>
      </x:c>
      <x:c r="P140" s="2949" t="n">
        <x:f>IF(OR(E140="",F140="",G140=""),"",((H140+I140)*1024)/(E140*F140*G140/4096))</x:f>
        <x:v>192</x:v>
      </x:c>
      <x:c r="Q140" s="2949" t="n">
        <x:f>IF(OR(E140="",F140="",G140=""),"",(E140*F140*4)/(E140*F140*G140/4096))</x:f>
        <x:v>128</x:v>
      </x:c>
      <x:c r="R140" s="2947" t="n">
        <x:f>IF(AND(ISNUMBER(K140),K140&gt;0,ISNUMBER(P140),P140&gt;0),MIN(1,K140/P140),"")</x:f>
        <x:v>0.6666666666666666</x:v>
      </x:c>
      <x:c r="S140" s="2947" t="n">
        <x:f>IF(AND(ISNUMBER(K140),K140&gt;0,ISNUMBER(Q140),Q140&gt;0),MIN(1,K140/Q140),"")</x:f>
        <x:v>1</x:v>
      </x:c>
      <x:c r="T140" s="2947" t="n">
        <x:f>IF(AND(ISNUMBER(R140),ISNUMBER(S140)),MIN(R140,S140),"")</x:f>
        <x:v>0.6666666666666666</x:v>
      </x:c>
      <x:c r="U140" s="2949" t="n">
        <x:f>IF(AND(ISNUMBER(M140),ISNUMBER(T140)),(M140-T140)*100,"")</x:f>
        <x:v>-24.366666666666664</x:v>
      </x:c>
      <x:c r="V140" s="2970" t="n">
        <x:v>69245</x:v>
      </x:c>
      <x:c r="W140" s="2947" t="n">
        <x:v>1.656</x:v>
      </x:c>
      <x:c r="X140" s="2947" t="n">
        <x:f>IF(AND(ISNUMBER(L140),ISNUMBER(V140),L140&gt;0,V140&gt;0),(L140-V140)/L140,"")</x:f>
        <x:v>0.4893511895104792</x:v>
      </x:c>
      <x:c r="Y140" s="2956" t="n">
        <x:f>IF(AND(ISNUMBER(L140),ISNUMBER(V140),L140&gt;0,V140&gt;0),L140/V140,"")</x:f>
        <x:v>1.9582930175463933</x:v>
      </x:c>
      <x:c r="Z140" s="2947" t="n">
        <x:f>IF(AND(ISNUMBER(C140),ISNUMBER(F140),C140&gt;0,F140&gt;0),1-F140/C140,"")</x:f>
        <x:v>0.5</x:v>
      </x:c>
      <x:c r="AA140" s="2951" t="inlineStr">
        <x:is>
          <x:t xml:space="preserve">PASS</x:t>
        </x:is>
      </x:c>
      <x:c r="AB140" s="2951" t="inlineStr">
        <x:is>
          <x:t xml:space="preserve">PASS</x:t>
        </x:is>
      </x:c>
      <x:c r="AC140" s="2952" t="inlineStr">
        <x:is>
          <x:t xml:space="preserve">本轮 model-main ae058a98 + 6参数(无SoC带宽/延迟) 2026-09-26</x:t>
        </x:is>
      </x:c>
    </x:row>
    <x:row r="141" ht="20" customHeight="1">
      <x:c r="A141" s="2866" t="inlineStr">
        <x:is>
          <x:t xml:space="preserve">BF16</x:t>
        </x:is>
      </x:c>
      <x:c r="B141" s="2973" t="n">
        <x:v>256</x:v>
      </x:c>
      <x:c r="C141" s="2973" t="n">
        <x:v>128</x:v>
      </x:c>
      <x:c r="D141" s="2973" t="n">
        <x:v>7168</x:v>
      </x:c>
      <x:c r="E141" s="2973" t="n">
        <x:v>128</x:v>
      </x:c>
      <x:c r="F141" s="2973" t="n">
        <x:v>64</x:v>
      </x:c>
      <x:c r="G141" s="2973" t="n">
        <x:v>256</x:v>
      </x:c>
      <x:c r="H141" s="2974" t="n">
        <x:v>64</x:v>
      </x:c>
      <x:c r="I141" s="2974" t="n">
        <x:v>32</x:v>
      </x:c>
      <x:c r="J141" s="2974" t="n">
        <x:v>96</x:v>
      </x:c>
      <x:c r="K141" s="2975" t="n">
        <x:v>128</x:v>
      </x:c>
      <x:c r="L141" s="2973" t="n">
        <x:v>135905</x:v>
      </x:c>
      <x:c r="M141" s="2870" t="n">
        <x:f>IF(AND(ISNUMBER(L141),L141&gt;0),ROUND(B141*C141*D141/4096/L141*100,1)/100,"")</x:f>
        <x:v>0.42200000000000004</x:v>
      </x:c>
      <x:c r="N141" s="2973" t="n">
        <x:f>IF(OR(B141="",C141="",D141="",E141="",F141="",G141=""),"",ROUNDUP(B141/MIN(E141,128),0)*(C141/F141)*(D141/G141)*((MIN(B141,MIN(E141,128))+F141)*G141*2/1024))</x:f>
        <x:v>10752</x:v>
      </x:c>
      <x:c r="O141" s="2871" t="n">
        <x:f>IF(AND(ISNUMBER(N141),ISNUMBER(K141),K141&gt;0),N141*1024/K141,"")</x:f>
        <x:v>86016</x:v>
      </x:c>
      <x:c r="P141" s="2872" t="n">
        <x:f>IF(OR(E141="",F141="",G141=""),"",((H141+I141)*1024)/(E141*F141*G141/4096))</x:f>
        <x:v>192</x:v>
      </x:c>
      <x:c r="Q141" s="2872" t="n">
        <x:f>IF(OR(E141="",F141="",G141=""),"",(E141*F141*4)/(E141*F141*G141/4096))</x:f>
        <x:v>64</x:v>
      </x:c>
      <x:c r="R141" s="2870" t="n">
        <x:f>IF(AND(ISNUMBER(K141),K141&gt;0,ISNUMBER(P141),P141&gt;0),MIN(1,K141/P141),"")</x:f>
        <x:v>0.6666666666666666</x:v>
      </x:c>
      <x:c r="S141" s="2870" t="n">
        <x:f>IF(AND(ISNUMBER(K141),K141&gt;0,ISNUMBER(Q141),Q141&gt;0),MIN(1,K141/Q141),"")</x:f>
        <x:v>1</x:v>
      </x:c>
      <x:c r="T141" s="2870" t="n">
        <x:f>IF(AND(ISNUMBER(R141),ISNUMBER(S141)),MIN(R141,S141),"")</x:f>
        <x:v>0.6666666666666666</x:v>
      </x:c>
      <x:c r="U141" s="2872" t="n">
        <x:f>IF(AND(ISNUMBER(M141),ISNUMBER(T141)),(M141-T141)*100,"")</x:f>
        <x:v>-24.466666666666658</x:v>
      </x:c>
      <x:c r="V141" s="2973" t="n">
        <x:v>69847</x:v>
      </x:c>
      <x:c r="W141" s="2870" t="n">
        <x:v>1.642</x:v>
      </x:c>
      <x:c r="X141" s="2870" t="n">
        <x:f>IF(AND(ISNUMBER(L141),ISNUMBER(V141),L141&gt;0,V141&gt;0),(L141-V141)/L141,"")</x:f>
        <x:v>0.4860601155218719</x:v>
      </x:c>
      <x:c r="Y141" s="2957" t="n">
        <x:f>IF(AND(ISNUMBER(L141),ISNUMBER(V141),L141&gt;0,V141&gt;0),L141/V141,"")</x:f>
        <x:v>1.9457528598221827</x:v>
      </x:c>
      <x:c r="Z141" s="2870" t="n">
        <x:f>IF(AND(ISNUMBER(C141),ISNUMBER(F141),C141&gt;0,F141&gt;0),1-F141/C141,"")</x:f>
        <x:v>0.5</x:v>
      </x:c>
      <x:c r="AA141" s="2933" t="inlineStr">
        <x:is>
          <x:t xml:space="preserve">PASS</x:t>
        </x:is>
      </x:c>
      <x:c r="AB141" s="2933" t="inlineStr">
        <x:is>
          <x:t xml:space="preserve">PASS</x:t>
        </x:is>
      </x:c>
      <x:c r="AC141" s="2880" t="inlineStr">
        <x:is>
          <x:t xml:space="preserve">本轮 model-main ae058a98 + 6参数(无SoC带宽/延迟) 2026-09-26</x:t>
        </x:is>
      </x:c>
    </x:row>
    <x:row r="142" ht="20" customHeight="1">
      <x:c r="A142" s="2866" t="inlineStr">
        <x:is>
          <x:t xml:space="preserve">BF16</x:t>
        </x:is>
      </x:c>
      <x:c r="B142" s="2973" t="n">
        <x:v>256</x:v>
      </x:c>
      <x:c r="C142" s="2973" t="n">
        <x:v>128</x:v>
      </x:c>
      <x:c r="D142" s="2973" t="n">
        <x:v>7168</x:v>
      </x:c>
      <x:c r="E142" s="2973" t="n">
        <x:v>128</x:v>
      </x:c>
      <x:c r="F142" s="2973" t="n">
        <x:v>64</x:v>
      </x:c>
      <x:c r="G142" s="2973" t="n">
        <x:v>512</x:v>
      </x:c>
      <x:c r="H142" s="2974" t="n">
        <x:v>128</x:v>
      </x:c>
      <x:c r="I142" s="2974" t="n">
        <x:v>64</x:v>
      </x:c>
      <x:c r="J142" s="2974" t="n">
        <x:v>192</x:v>
      </x:c>
      <x:c r="K142" s="2975" t="n">
        <x:v>128</x:v>
      </x:c>
      <x:c r="L142" s="2973" t="n">
        <x:v>270303</x:v>
      </x:c>
      <x:c r="M142" s="2870" t="n">
        <x:f>IF(AND(ISNUMBER(L142),L142&gt;0),ROUND(B142*C142*D142/4096/L142*100,1)/100,"")</x:f>
        <x:v>0.212</x:v>
      </x:c>
      <x:c r="N142" s="2973" t="n">
        <x:f>IF(OR(B142="",C142="",D142="",E142="",F142="",G142=""),"",ROUNDUP(B142/MIN(E142,128),0)*(C142/F142)*(D142/G142)*((MIN(B142,MIN(E142,128))+F142)*G142*2/1024))</x:f>
        <x:v>10752</x:v>
      </x:c>
      <x:c r="O142" s="2871" t="n">
        <x:f>IF(AND(ISNUMBER(N142),ISNUMBER(K142),K142&gt;0),N142*1024/K142,"")</x:f>
        <x:v>86016</x:v>
      </x:c>
      <x:c r="P142" s="2872" t="n">
        <x:f>IF(OR(E142="",F142="",G142=""),"",((H142+I142)*1024)/(E142*F142*G142/4096))</x:f>
        <x:v>192</x:v>
      </x:c>
      <x:c r="Q142" s="2872" t="n">
        <x:f>IF(OR(E142="",F142="",G142=""),"",(E142*F142*4)/(E142*F142*G142/4096))</x:f>
        <x:v>32</x:v>
      </x:c>
      <x:c r="R142" s="2870" t="n">
        <x:f>IF(AND(ISNUMBER(K142),K142&gt;0,ISNUMBER(P142),P142&gt;0),MIN(1,K142/P142),"")</x:f>
        <x:v>0.6666666666666666</x:v>
      </x:c>
      <x:c r="S142" s="2870" t="n">
        <x:f>IF(AND(ISNUMBER(K142),K142&gt;0,ISNUMBER(Q142),Q142&gt;0),MIN(1,K142/Q142),"")</x:f>
        <x:v>1</x:v>
      </x:c>
      <x:c r="T142" s="2870" t="n">
        <x:f>IF(AND(ISNUMBER(R142),ISNUMBER(S142)),MIN(R142,S142),"")</x:f>
        <x:v>0.6666666666666666</x:v>
      </x:c>
      <x:c r="U142" s="2872" t="n">
        <x:f>IF(AND(ISNUMBER(M142),ISNUMBER(T142)),(M142-T142)*100,"")</x:f>
        <x:v>-45.46666666666667</x:v>
      </x:c>
      <x:c r="V142" s="2973" t="n">
        <x:v>163191</x:v>
      </x:c>
      <x:c r="W142" s="2870" t="n">
        <x:v>0.703</x:v>
      </x:c>
      <x:c r="X142" s="2870" t="n">
        <x:f>IF(AND(ISNUMBER(L142),ISNUMBER(V142),L142&gt;0,V142&gt;0),(L142-V142)/L142,"")</x:f>
        <x:v>0.39626641213749014</x:v>
      </x:c>
      <x:c r="Y142" s="2957" t="n">
        <x:f>IF(AND(ISNUMBER(L142),ISNUMBER(V142),L142&gt;0,V142&gt;0),L142/V142,"")</x:f>
        <x:v>1.6563597257201683</x:v>
      </x:c>
      <x:c r="Z142" s="2870" t="n">
        <x:f>IF(AND(ISNUMBER(C142),ISNUMBER(F142),C142&gt;0,F142&gt;0),1-F142/C142,"")</x:f>
        <x:v>0.5</x:v>
      </x:c>
      <x:c r="AA142" s="2933" t="inlineStr">
        <x:is>
          <x:t xml:space="preserve">PASS</x:t>
        </x:is>
      </x:c>
      <x:c r="AB142" s="2933" t="inlineStr">
        <x:is>
          <x:t xml:space="preserve">PASS</x:t>
        </x:is>
      </x:c>
      <x:c r="AC142" s="2880" t="inlineStr">
        <x:is>
          <x:t xml:space="preserve">本轮 model-main ae058a98 + 6参数(无SoC带宽/延迟) 2026-09-26</x:t>
        </x:is>
      </x:c>
    </x:row>
    <x:row r="143" ht="20" customHeight="1">
      <x:c r="A143" s="2866" t="inlineStr">
        <x:is>
          <x:t xml:space="preserve">BF16</x:t>
        </x:is>
      </x:c>
      <x:c r="B143" s="2973" t="n">
        <x:v>256</x:v>
      </x:c>
      <x:c r="C143" s="2973" t="n">
        <x:v>128</x:v>
      </x:c>
      <x:c r="D143" s="2973" t="n">
        <x:v>7168</x:v>
      </x:c>
      <x:c r="E143" s="2973" t="n">
        <x:v>128</x:v>
      </x:c>
      <x:c r="F143" s="2973" t="n">
        <x:v>128</x:v>
      </x:c>
      <x:c r="G143" s="2973" t="n">
        <x:v>64</x:v>
      </x:c>
      <x:c r="H143" s="2974" t="n">
        <x:v>16</x:v>
      </x:c>
      <x:c r="I143" s="2974" t="n">
        <x:v>16</x:v>
      </x:c>
      <x:c r="J143" s="2974" t="n">
        <x:v>32</x:v>
      </x:c>
      <x:c r="K143" s="2975" t="n">
        <x:v>128</x:v>
      </x:c>
      <x:c r="L143" s="2973" t="n">
        <x:v>90844</x:v>
      </x:c>
      <x:c r="M143" s="2870" t="n">
        <x:f>IF(AND(ISNUMBER(L143),L143&gt;0),ROUND(B143*C143*D143/4096/L143*100,1)/100,"")</x:f>
        <x:v>0.631</x:v>
      </x:c>
      <x:c r="N143" s="2973" t="n">
        <x:f>IF(OR(B143="",C143="",D143="",E143="",F143="",G143=""),"",ROUNDUP(B143/MIN(E143,128),0)*(C143/F143)*(D143/G143)*((MIN(B143,MIN(E143,128))+F143)*G143*2/1024))</x:f>
        <x:v>7168</x:v>
      </x:c>
      <x:c r="O143" s="2871" t="n">
        <x:f>IF(AND(ISNUMBER(N143),ISNUMBER(K143),K143&gt;0),N143*1024/K143,"")</x:f>
        <x:v>57344</x:v>
      </x:c>
      <x:c r="P143" s="2872" t="n">
        <x:f>IF(OR(E143="",F143="",G143=""),"",((H143+I143)*1024)/(E143*F143*G143/4096))</x:f>
        <x:v>128</x:v>
      </x:c>
      <x:c r="Q143" s="2872" t="n">
        <x:f>IF(OR(E143="",F143="",G143=""),"",(E143*F143*4)/(E143*F143*G143/4096))</x:f>
        <x:v>256</x:v>
      </x:c>
      <x:c r="R143" s="2870" t="n">
        <x:f>IF(AND(ISNUMBER(K143),K143&gt;0,ISNUMBER(P143),P143&gt;0),MIN(1,K143/P143),"")</x:f>
        <x:v>1</x:v>
      </x:c>
      <x:c r="S143" s="2870" t="n">
        <x:f>IF(AND(ISNUMBER(K143),K143&gt;0,ISNUMBER(Q143),Q143&gt;0),MIN(1,K143/Q143),"")</x:f>
        <x:v>0.5</x:v>
      </x:c>
      <x:c r="T143" s="2870" t="n">
        <x:f>IF(AND(ISNUMBER(R143),ISNUMBER(S143)),MIN(R143,S143),"")</x:f>
        <x:v>0.5</x:v>
      </x:c>
      <x:c r="U143" s="2872" t="n">
        <x:f>IF(AND(ISNUMBER(M143),ISNUMBER(T143)),(M143-T143)*100,"")</x:f>
        <x:v>13.100000000000001</x:v>
      </x:c>
      <x:c r="V143" s="2973" t="n">
        <x:v>90390</x:v>
      </x:c>
      <x:c r="W143" s="2870" t="n">
        <x:v>1.269</x:v>
      </x:c>
      <x:c r="X143" s="2870" t="n">
        <x:f>IF(AND(ISNUMBER(L143),ISNUMBER(V143),L143&gt;0,V143&gt;0),(L143-V143)/L143,"")</x:f>
        <x:v>0.004997578266038484</x:v>
      </x:c>
      <x:c r="Y143" s="2957" t="n">
        <x:f>IF(AND(ISNUMBER(L143),ISNUMBER(V143),L143&gt;0,V143&gt;0),L143/V143,"")</x:f>
        <x:v>1.0050226794999446</x:v>
      </x:c>
      <x:c r="Z143" s="2870" t="n">
        <x:f>IF(AND(ISNUMBER(C143),ISNUMBER(F143),C143&gt;0,F143&gt;0),1-F143/C143,"")</x:f>
        <x:v>0</x:v>
      </x:c>
      <x:c r="AA143" s="2933" t="inlineStr">
        <x:is>
          <x:t xml:space="preserve">PASS</x:t>
        </x:is>
      </x:c>
      <x:c r="AB143" s="2933" t="inlineStr">
        <x:is>
          <x:t xml:space="preserve">PASS</x:t>
        </x:is>
      </x:c>
      <x:c r="AC143" s="2880" t="inlineStr">
        <x:is>
          <x:t xml:space="preserve">本轮 model-main ae058a98 + 6参数(无SoC带宽/延迟) 2026-09-26</x:t>
        </x:is>
      </x:c>
    </x:row>
    <x:row r="144" ht="20" customHeight="1">
      <x:c r="A144" s="2866" t="inlineStr">
        <x:is>
          <x:t xml:space="preserve">BF16</x:t>
        </x:is>
      </x:c>
      <x:c r="B144" s="2973" t="n">
        <x:v>256</x:v>
      </x:c>
      <x:c r="C144" s="2973" t="n">
        <x:v>128</x:v>
      </x:c>
      <x:c r="D144" s="2973" t="n">
        <x:v>7168</x:v>
      </x:c>
      <x:c r="E144" s="2973" t="n">
        <x:v>128</x:v>
      </x:c>
      <x:c r="F144" s="2973" t="n">
        <x:v>128</x:v>
      </x:c>
      <x:c r="G144" s="2973" t="n">
        <x:v>128</x:v>
      </x:c>
      <x:c r="H144" s="2974" t="n">
        <x:v>32</x:v>
      </x:c>
      <x:c r="I144" s="2974" t="n">
        <x:v>32</x:v>
      </x:c>
      <x:c r="J144" s="2974" t="n">
        <x:v>64</x:v>
      </x:c>
      <x:c r="K144" s="2975" t="n">
        <x:v>128</x:v>
      </x:c>
      <x:c r="L144" s="2973" t="n">
        <x:v>91124</x:v>
      </x:c>
      <x:c r="M144" s="2870" t="n">
        <x:f>IF(AND(ISNUMBER(L144),L144&gt;0),ROUND(B144*C144*D144/4096/L144*100,1)/100,"")</x:f>
        <x:v>0.629</x:v>
      </x:c>
      <x:c r="N144" s="2973" t="n">
        <x:f>IF(OR(B144="",C144="",D144="",E144="",F144="",G144=""),"",ROUNDUP(B144/MIN(E144,128),0)*(C144/F144)*(D144/G144)*((MIN(B144,MIN(E144,128))+F144)*G144*2/1024))</x:f>
        <x:v>7168</x:v>
      </x:c>
      <x:c r="O144" s="2871" t="n">
        <x:f>IF(AND(ISNUMBER(N144),ISNUMBER(K144),K144&gt;0),N144*1024/K144,"")</x:f>
        <x:v>57344</x:v>
      </x:c>
      <x:c r="P144" s="2872" t="n">
        <x:f>IF(OR(E144="",F144="",G144=""),"",((H144+I144)*1024)/(E144*F144*G144/4096))</x:f>
        <x:v>128</x:v>
      </x:c>
      <x:c r="Q144" s="2872" t="n">
        <x:f>IF(OR(E144="",F144="",G144=""),"",(E144*F144*4)/(E144*F144*G144/4096))</x:f>
        <x:v>128</x:v>
      </x:c>
      <x:c r="R144" s="2870" t="n">
        <x:f>IF(AND(ISNUMBER(K144),K144&gt;0,ISNUMBER(P144),P144&gt;0),MIN(1,K144/P144),"")</x:f>
        <x:v>1</x:v>
      </x:c>
      <x:c r="S144" s="2870" t="n">
        <x:f>IF(AND(ISNUMBER(K144),K144&gt;0,ISNUMBER(Q144),Q144&gt;0),MIN(1,K144/Q144),"")</x:f>
        <x:v>1</x:v>
      </x:c>
      <x:c r="T144" s="2870" t="n">
        <x:f>IF(AND(ISNUMBER(R144),ISNUMBER(S144)),MIN(R144,S144),"")</x:f>
        <x:v>1</x:v>
      </x:c>
      <x:c r="U144" s="2872" t="n">
        <x:f>IF(AND(ISNUMBER(M144),ISNUMBER(T144)),(M144-T144)*100,"")</x:f>
        <x:v>-37.1</x:v>
      </x:c>
      <x:c r="V144" s="2973" t="n">
        <x:v>70905</x:v>
      </x:c>
      <x:c r="W144" s="2870" t="n">
        <x:v>1.617</x:v>
      </x:c>
      <x:c r="X144" s="2870" t="n">
        <x:f>IF(AND(ISNUMBER(L144),ISNUMBER(V144),L144&gt;0,V144&gt;0),(L144-V144)/L144,"")</x:f>
        <x:v>0.22188446512444582</x:v>
      </x:c>
      <x:c r="Y144" s="2957" t="n">
        <x:f>IF(AND(ISNUMBER(L144),ISNUMBER(V144),L144&gt;0,V144&gt;0),L144/V144,"")</x:f>
        <x:v>1.2851561949086807</x:v>
      </x:c>
      <x:c r="Z144" s="2870" t="n">
        <x:f>IF(AND(ISNUMBER(C144),ISNUMBER(F144),C144&gt;0,F144&gt;0),1-F144/C144,"")</x:f>
        <x:v>0</x:v>
      </x:c>
      <x:c r="AA144" s="2933" t="inlineStr">
        <x:is>
          <x:t xml:space="preserve">PASS</x:t>
        </x:is>
      </x:c>
      <x:c r="AB144" s="2933" t="inlineStr">
        <x:is>
          <x:t xml:space="preserve">PASS</x:t>
        </x:is>
      </x:c>
      <x:c r="AC144" s="2880" t="inlineStr">
        <x:is>
          <x:t xml:space="preserve">本轮 model-main ae058a98 + 6参数(无SoC带宽/延迟) 2026-09-26</x:t>
        </x:is>
      </x:c>
    </x:row>
    <x:row r="145" ht="20" customHeight="1">
      <x:c r="A145" s="2866" t="inlineStr">
        <x:is>
          <x:t xml:space="preserve">BF16</x:t>
        </x:is>
      </x:c>
      <x:c r="B145" s="2973" t="n">
        <x:v>256</x:v>
      </x:c>
      <x:c r="C145" s="2973" t="n">
        <x:v>128</x:v>
      </x:c>
      <x:c r="D145" s="2973" t="n">
        <x:v>7168</x:v>
      </x:c>
      <x:c r="E145" s="2973" t="n">
        <x:v>128</x:v>
      </x:c>
      <x:c r="F145" s="2973" t="n">
        <x:v>128</x:v>
      </x:c>
      <x:c r="G145" s="2973" t="n">
        <x:v>256</x:v>
      </x:c>
      <x:c r="H145" s="2974" t="n">
        <x:v>64</x:v>
      </x:c>
      <x:c r="I145" s="2974" t="n">
        <x:v>64</x:v>
      </x:c>
      <x:c r="J145" s="2974" t="n">
        <x:v>128</x:v>
      </x:c>
      <x:c r="K145" s="2975" t="n">
        <x:v>128</x:v>
      </x:c>
      <x:c r="L145" s="2973" t="n">
        <x:v>97505</x:v>
      </x:c>
      <x:c r="M145" s="2870" t="n">
        <x:f>IF(AND(ISNUMBER(L145),L145&gt;0),ROUND(B145*C145*D145/4096/L145*100,1)/100,"")</x:f>
        <x:v>0.588</x:v>
      </x:c>
      <x:c r="N145" s="2973" t="n">
        <x:f>IF(OR(B145="",C145="",D145="",E145="",F145="",G145=""),"",ROUNDUP(B145/MIN(E145,128),0)*(C145/F145)*(D145/G145)*((MIN(B145,MIN(E145,128))+F145)*G145*2/1024))</x:f>
        <x:v>7168</x:v>
      </x:c>
      <x:c r="O145" s="2871" t="n">
        <x:f>IF(AND(ISNUMBER(N145),ISNUMBER(K145),K145&gt;0),N145*1024/K145,"")</x:f>
        <x:v>57344</x:v>
      </x:c>
      <x:c r="P145" s="2872" t="n">
        <x:f>IF(OR(E145="",F145="",G145=""),"",((H145+I145)*1024)/(E145*F145*G145/4096))</x:f>
        <x:v>128</x:v>
      </x:c>
      <x:c r="Q145" s="2872" t="n">
        <x:f>IF(OR(E145="",F145="",G145=""),"",(E145*F145*4)/(E145*F145*G145/4096))</x:f>
        <x:v>64</x:v>
      </x:c>
      <x:c r="R145" s="2870" t="n">
        <x:f>IF(AND(ISNUMBER(K145),K145&gt;0,ISNUMBER(P145),P145&gt;0),MIN(1,K145/P145),"")</x:f>
        <x:v>1</x:v>
      </x:c>
      <x:c r="S145" s="2870" t="n">
        <x:f>IF(AND(ISNUMBER(K145),K145&gt;0,ISNUMBER(Q145),Q145&gt;0),MIN(1,K145/Q145),"")</x:f>
        <x:v>1</x:v>
      </x:c>
      <x:c r="T145" s="2870" t="n">
        <x:f>IF(AND(ISNUMBER(R145),ISNUMBER(S145)),MIN(R145,S145),"")</x:f>
        <x:v>1</x:v>
      </x:c>
      <x:c r="U145" s="2872" t="n">
        <x:f>IF(AND(ISNUMBER(M145),ISNUMBER(T145)),(M145-T145)*100,"")</x:f>
        <x:v>-41.2</x:v>
      </x:c>
      <x:c r="V145" s="2973" t="n">
        <x:v>71442</x:v>
      </x:c>
      <x:c r="W145" s="2870" t="n">
        <x:v>1.605</x:v>
      </x:c>
      <x:c r="X145" s="2870" t="n">
        <x:f>IF(AND(ISNUMBER(L145),ISNUMBER(V145),L145&gt;0,V145&gt;0),(L145-V145)/L145,"")</x:f>
        <x:v>0.2672991128660069</x:v>
      </x:c>
      <x:c r="Y145" s="2957" t="n">
        <x:f>IF(AND(ISNUMBER(L145),ISNUMBER(V145),L145&gt;0,V145&gt;0),L145/V145,"")</x:f>
        <x:v>1.3648134150779654</x:v>
      </x:c>
      <x:c r="Z145" s="2870" t="n">
        <x:f>IF(AND(ISNUMBER(C145),ISNUMBER(F145),C145&gt;0,F145&gt;0),1-F145/C145,"")</x:f>
        <x:v>0</x:v>
      </x:c>
      <x:c r="AA145" s="2933" t="inlineStr">
        <x:is>
          <x:t xml:space="preserve">PASS</x:t>
        </x:is>
      </x:c>
      <x:c r="AB145" s="2933" t="inlineStr">
        <x:is>
          <x:t xml:space="preserve">PASS</x:t>
        </x:is>
      </x:c>
      <x:c r="AC145" s="2880" t="inlineStr">
        <x:is>
          <x:t xml:space="preserve">本轮 model-main ae058a98 + 6参数(无SoC带宽/延迟) 2026-09-26</x:t>
        </x:is>
      </x:c>
    </x:row>
    <x:row r="146" ht="20" customHeight="1">
      <x:c r="A146" s="2866" t="inlineStr">
        <x:is>
          <x:t xml:space="preserve">BF16</x:t>
        </x:is>
      </x:c>
      <x:c r="B146" s="2973" t="n">
        <x:v>256</x:v>
      </x:c>
      <x:c r="C146" s="2973" t="n">
        <x:v>128</x:v>
      </x:c>
      <x:c r="D146" s="2973" t="n">
        <x:v>7168</x:v>
      </x:c>
      <x:c r="E146" s="2973" t="n">
        <x:v>128</x:v>
      </x:c>
      <x:c r="F146" s="2973" t="n">
        <x:v>128</x:v>
      </x:c>
      <x:c r="G146" s="2973" t="n">
        <x:v>512</x:v>
      </x:c>
      <x:c r="H146" s="2974" t="n">
        <x:v>128</x:v>
      </x:c>
      <x:c r="I146" s="2974" t="n">
        <x:v>128</x:v>
      </x:c>
      <x:c r="J146" s="2974" t="n">
        <x:v>256</x:v>
      </x:c>
      <x:c r="K146" s="2975" t="n">
        <x:v>128</x:v>
      </x:c>
      <x:c r="L146" s="2973" t="n">
        <x:v>186583</x:v>
      </x:c>
      <x:c r="M146" s="2870" t="n">
        <x:f>IF(AND(ISNUMBER(L146),L146&gt;0),ROUND(B146*C146*D146/4096/L146*100,1)/100,"")</x:f>
        <x:v>0.307</x:v>
      </x:c>
      <x:c r="N146" s="2973" t="n">
        <x:f>IF(OR(B146="",C146="",D146="",E146="",F146="",G146=""),"",ROUNDUP(B146/MIN(E146,128),0)*(C146/F146)*(D146/G146)*((MIN(B146,MIN(E146,128))+F146)*G146*2/1024))</x:f>
        <x:v>7168</x:v>
      </x:c>
      <x:c r="O146" s="2871" t="n">
        <x:f>IF(AND(ISNUMBER(N146),ISNUMBER(K146),K146&gt;0),N146*1024/K146,"")</x:f>
        <x:v>57344</x:v>
      </x:c>
      <x:c r="P146" s="2872" t="n">
        <x:f>IF(OR(E146="",F146="",G146=""),"",((H146+I146)*1024)/(E146*F146*G146/4096))</x:f>
        <x:v>128</x:v>
      </x:c>
      <x:c r="Q146" s="2872" t="n">
        <x:f>IF(OR(E146="",F146="",G146=""),"",(E146*F146*4)/(E146*F146*G146/4096))</x:f>
        <x:v>32</x:v>
      </x:c>
      <x:c r="R146" s="2870" t="n">
        <x:f>IF(AND(ISNUMBER(K146),K146&gt;0,ISNUMBER(P146),P146&gt;0),MIN(1,K146/P146),"")</x:f>
        <x:v>1</x:v>
      </x:c>
      <x:c r="S146" s="2870" t="n">
        <x:f>IF(AND(ISNUMBER(K146),K146&gt;0,ISNUMBER(Q146),Q146&gt;0),MIN(1,K146/Q146),"")</x:f>
        <x:v>1</x:v>
      </x:c>
      <x:c r="T146" s="2870" t="n">
        <x:f>IF(AND(ISNUMBER(R146),ISNUMBER(S146)),MIN(R146,S146),"")</x:f>
        <x:v>1</x:v>
      </x:c>
      <x:c r="U146" s="2872" t="n">
        <x:f>IF(AND(ISNUMBER(M146),ISNUMBER(T146)),(M146-T146)*100,"")</x:f>
        <x:v>-69.30000000000001</x:v>
      </x:c>
      <x:c r="V146" s="2973" t="n">
        <x:v>166526</x:v>
      </x:c>
      <x:c r="W146" s="2870" t="n">
        <x:v>0.6889999999999999</x:v>
      </x:c>
      <x:c r="X146" s="2870" t="n">
        <x:f>IF(AND(ISNUMBER(L146),ISNUMBER(V146),L146&gt;0,V146&gt;0),(L146-V146)/L146,"")</x:f>
        <x:v>0.10749639570593247</x:v>
      </x:c>
      <x:c r="Y146" s="2957" t="n">
        <x:f>IF(AND(ISNUMBER(L146),ISNUMBER(V146),L146&gt;0,V146&gt;0),L146/V146,"")</x:f>
        <x:v>1.120443654444351</x:v>
      </x:c>
      <x:c r="Z146" s="2870" t="n">
        <x:f>IF(AND(ISNUMBER(C146),ISNUMBER(F146),C146&gt;0,F146&gt;0),1-F146/C146,"")</x:f>
        <x:v>0</x:v>
      </x:c>
      <x:c r="AA146" s="2933" t="inlineStr">
        <x:is>
          <x:t xml:space="preserve">PASS</x:t>
        </x:is>
      </x:c>
      <x:c r="AB146" s="2933" t="inlineStr">
        <x:is>
          <x:t xml:space="preserve">PASS</x:t>
        </x:is>
      </x:c>
      <x:c r="AC146" s="2880" t="inlineStr">
        <x:is>
          <x:t xml:space="preserve">本轮 model-main ae058a98 + 6参数(无SoC带宽/延迟) 2026-09-26</x:t>
        </x:is>
      </x:c>
    </x:row>
    <x:row r="147" ht="20" customHeight="1">
      <x:c r="A147" s="2822" t="inlineStr">
        <x:is>
          <x:t xml:space="preserve">FP16</x:t>
        </x:is>
      </x:c>
      <x:c r="B147" s="2964" t="n"/>
      <x:c r="C147" s="2964" t="n"/>
      <x:c r="D147" s="2964" t="n"/>
      <x:c r="E147" s="2964" t="n"/>
      <x:c r="F147" s="2964" t="n"/>
      <x:c r="G147" s="2964" t="n"/>
      <x:c r="H147" s="2965" t="n"/>
      <x:c r="I147" s="2965" t="n"/>
      <x:c r="J147" s="2965" t="n"/>
      <x:c r="K147" s="2966"/>
      <x:c r="L147" s="2964" t="n"/>
      <x:c r="M147" s="2826" t="str"/>
      <x:c r="N147" s="2964" t="str"/>
      <x:c r="O147" s="2827" t="str"/>
      <x:c r="P147" s="2828" t="str"/>
      <x:c r="Q147" s="2828" t="str"/>
      <x:c r="R147" s="2826" t="str"/>
      <x:c r="S147" s="2826" t="str"/>
      <x:c r="T147" s="2826" t="str"/>
      <x:c r="U147" s="2828" t="str"/>
      <x:c r="V147" s="2964" t="n"/>
      <x:c r="W147" s="2826" t="n"/>
      <x:c r="X147" s="2826" t="n"/>
      <x:c r="Y147" s="2954" t="n"/>
      <x:c r="Z147" s="2826" t="n"/>
      <x:c r="AA147" s="2822" t="n"/>
      <x:c r="AB147" s="2822" t="n"/>
      <x:c r="AC147" s="2822" t="n"/>
    </x:row>
    <x:row r="148" ht="20" customHeight="1">
      <x:c r="A148" s="2891" t="inlineStr">
        <x:is>
          <x:t xml:space="preserve">FP16</x:t>
        </x:is>
      </x:c>
      <x:c r="B148" s="2976" t="n">
        <x:v>256</x:v>
      </x:c>
      <x:c r="C148" s="2976" t="n">
        <x:v>128</x:v>
      </x:c>
      <x:c r="D148" s="2976" t="n">
        <x:v>7168</x:v>
      </x:c>
      <x:c r="E148" s="2976" t="n">
        <x:v>128</x:v>
      </x:c>
      <x:c r="F148" s="2976" t="n">
        <x:v>64</x:v>
      </x:c>
      <x:c r="G148" s="2976" t="n">
        <x:v>64</x:v>
      </x:c>
      <x:c r="H148" s="2977" t="n">
        <x:v>16</x:v>
      </x:c>
      <x:c r="I148" s="2977" t="n">
        <x:v>8</x:v>
      </x:c>
      <x:c r="J148" s="2977" t="n">
        <x:v>24</x:v>
      </x:c>
      <x:c r="K148" s="2978" t="n">
        <x:v>128</x:v>
      </x:c>
      <x:c r="L148" s="2976" t="n">
        <x:v>135507</x:v>
      </x:c>
      <x:c r="M148" s="2895" t="n">
        <x:f>IF(AND(ISNUMBER(L148),L148&gt;0),ROUND(B148*C148*D148/4096/L148*100,1)/100,"")</x:f>
        <x:v>0.423</x:v>
      </x:c>
      <x:c r="N148" s="2976" t="n">
        <x:f>IF(OR(B148="",C148="",D148="",E148="",F148="",G148=""),"",ROUNDUP(B148/MIN(E148,128),0)*(C148/F148)*(D148/G148)*((MIN(B148,MIN(E148,128))+F148)*G148*2/1024))</x:f>
        <x:v>10752</x:v>
      </x:c>
      <x:c r="O148" s="2896" t="n">
        <x:f>IF(AND(ISNUMBER(N148),ISNUMBER(K148),K148&gt;0),N148*1024/K148,"")</x:f>
        <x:v>86016</x:v>
      </x:c>
      <x:c r="P148" s="2897" t="n">
        <x:f>IF(OR(E148="",F148="",G148=""),"",((H148+I148)*1024)/(E148*F148*G148/4096))</x:f>
        <x:v>192</x:v>
      </x:c>
      <x:c r="Q148" s="2897" t="n">
        <x:f>IF(OR(E148="",F148="",G148=""),"",(E148*F148*4)/(E148*F148*G148/4096))</x:f>
        <x:v>256</x:v>
      </x:c>
      <x:c r="R148" s="2895" t="n">
        <x:f>IF(AND(ISNUMBER(K148),K148&gt;0,ISNUMBER(P148),P148&gt;0),MIN(1,K148/P148),"")</x:f>
        <x:v>0.6666666666666666</x:v>
      </x:c>
      <x:c r="S148" s="2895" t="n">
        <x:f>IF(AND(ISNUMBER(K148),K148&gt;0,ISNUMBER(Q148),Q148&gt;0),MIN(1,K148/Q148),"")</x:f>
        <x:v>0.5</x:v>
      </x:c>
      <x:c r="T148" s="2895" t="n">
        <x:f>IF(AND(ISNUMBER(R148),ISNUMBER(S148)),MIN(R148,S148),"")</x:f>
        <x:v>0.5</x:v>
      </x:c>
      <x:c r="U148" s="2897" t="n">
        <x:f>IF(AND(ISNUMBER(M148),ISNUMBER(T148)),(M148-T148)*100,"")</x:f>
        <x:v>-7.700000000000001</x:v>
      </x:c>
      <x:c r="V148" s="2976" t="n">
        <x:v>90547</x:v>
      </x:c>
      <x:c r="W148" s="2895" t="n">
        <x:v>1.267</x:v>
      </x:c>
      <x:c r="X148" s="2895" t="n">
        <x:f>IF(AND(ISNUMBER(L148),ISNUMBER(V148),L148&gt;0,V148&gt;0),(L148-V148)/L148,"")</x:f>
        <x:v>0.3317909775878737</x:v>
      </x:c>
      <x:c r="Y148" s="2958" t="n">
        <x:f>IF(AND(ISNUMBER(L148),ISNUMBER(V148),L148&gt;0,V148&gt;0),L148/V148,"")</x:f>
        <x:v>1.4965377096977261</x:v>
      </x:c>
      <x:c r="Z148" s="2895" t="n">
        <x:f>IF(AND(ISNUMBER(C148),ISNUMBER(F148),C148&gt;0,F148&gt;0),1-F148/C148,"")</x:f>
        <x:v>0.5</x:v>
      </x:c>
      <x:c r="AA148" s="2935" t="inlineStr">
        <x:is>
          <x:t xml:space="preserve">PASS</x:t>
        </x:is>
      </x:c>
      <x:c r="AB148" s="2935" t="inlineStr">
        <x:is>
          <x:t xml:space="preserve">PASS</x:t>
        </x:is>
      </x:c>
      <x:c r="AC148" s="2905" t="inlineStr">
        <x:is>
          <x:t xml:space="preserve">本轮 model-main ae058a98 + 6参数(无SoC带宽/延迟) 2026-09-26</x:t>
        </x:is>
      </x:c>
    </x:row>
    <x:row r="149" ht="20" customHeight="1">
      <x:c r="A149" s="2943" t="inlineStr">
        <x:is>
          <x:t xml:space="preserve">FP16</x:t>
        </x:is>
      </x:c>
      <x:c r="B149" s="2970" t="n">
        <x:v>256</x:v>
      </x:c>
      <x:c r="C149" s="2970" t="n">
        <x:v>128</x:v>
      </x:c>
      <x:c r="D149" s="2970" t="n">
        <x:v>7168</x:v>
      </x:c>
      <x:c r="E149" s="2970" t="n">
        <x:v>128</x:v>
      </x:c>
      <x:c r="F149" s="2970" t="n">
        <x:v>64</x:v>
      </x:c>
      <x:c r="G149" s="2970" t="n">
        <x:v>128</x:v>
      </x:c>
      <x:c r="H149" s="2971" t="n">
        <x:v>32</x:v>
      </x:c>
      <x:c r="I149" s="2971" t="n">
        <x:v>16</x:v>
      </x:c>
      <x:c r="J149" s="2971" t="n">
        <x:v>48</x:v>
      </x:c>
      <x:c r="K149" s="2972" t="n">
        <x:v>128</x:v>
      </x:c>
      <x:c r="L149" s="2970" t="n">
        <x:v>135602</x:v>
      </x:c>
      <x:c r="M149" s="2947" t="n">
        <x:f>IF(AND(ISNUMBER(L149),L149&gt;0),ROUND(B149*C149*D149/4096/L149*100,1)/100,"")</x:f>
        <x:v>0.423</x:v>
      </x:c>
      <x:c r="N149" s="2970" t="n">
        <x:f>IF(OR(B149="",C149="",D149="",E149="",F149="",G149=""),"",ROUNDUP(B149/MIN(E149,128),0)*(C149/F149)*(D149/G149)*((MIN(B149,MIN(E149,128))+F149)*G149*2/1024))</x:f>
        <x:v>10752</x:v>
      </x:c>
      <x:c r="O149" s="2948" t="n">
        <x:f>IF(AND(ISNUMBER(N149),ISNUMBER(K149),K149&gt;0),N149*1024/K149,"")</x:f>
        <x:v>86016</x:v>
      </x:c>
      <x:c r="P149" s="2949" t="n">
        <x:f>IF(OR(E149="",F149="",G149=""),"",((H149+I149)*1024)/(E149*F149*G149/4096))</x:f>
        <x:v>192</x:v>
      </x:c>
      <x:c r="Q149" s="2949" t="n">
        <x:f>IF(OR(E149="",F149="",G149=""),"",(E149*F149*4)/(E149*F149*G149/4096))</x:f>
        <x:v>128</x:v>
      </x:c>
      <x:c r="R149" s="2947" t="n">
        <x:f>IF(AND(ISNUMBER(K149),K149&gt;0,ISNUMBER(P149),P149&gt;0),MIN(1,K149/P149),"")</x:f>
        <x:v>0.6666666666666666</x:v>
      </x:c>
      <x:c r="S149" s="2947" t="n">
        <x:f>IF(AND(ISNUMBER(K149),K149&gt;0,ISNUMBER(Q149),Q149&gt;0),MIN(1,K149/Q149),"")</x:f>
        <x:v>1</x:v>
      </x:c>
      <x:c r="T149" s="2947" t="n">
        <x:f>IF(AND(ISNUMBER(R149),ISNUMBER(S149)),MIN(R149,S149),"")</x:f>
        <x:v>0.6666666666666666</x:v>
      </x:c>
      <x:c r="U149" s="2949" t="n">
        <x:f>IF(AND(ISNUMBER(M149),ISNUMBER(T149)),(M149-T149)*100,"")</x:f>
        <x:v>-24.366666666666664</x:v>
      </x:c>
      <x:c r="V149" s="2970" t="n">
        <x:v>69245</x:v>
      </x:c>
      <x:c r="W149" s="2947" t="n">
        <x:v>1.656</x:v>
      </x:c>
      <x:c r="X149" s="2947" t="n">
        <x:f>IF(AND(ISNUMBER(L149),ISNUMBER(V149),L149&gt;0,V149&gt;0),(L149-V149)/L149,"")</x:f>
        <x:v>0.4893511895104792</x:v>
      </x:c>
      <x:c r="Y149" s="2956" t="n">
        <x:f>IF(AND(ISNUMBER(L149),ISNUMBER(V149),L149&gt;0,V149&gt;0),L149/V149,"")</x:f>
        <x:v>1.9582930175463933</x:v>
      </x:c>
      <x:c r="Z149" s="2947" t="n">
        <x:f>IF(AND(ISNUMBER(C149),ISNUMBER(F149),C149&gt;0,F149&gt;0),1-F149/C149,"")</x:f>
        <x:v>0.5</x:v>
      </x:c>
      <x:c r="AA149" s="2951" t="inlineStr">
        <x:is>
          <x:t xml:space="preserve">PASS</x:t>
        </x:is>
      </x:c>
      <x:c r="AB149" s="2951" t="inlineStr">
        <x:is>
          <x:t xml:space="preserve">PASS</x:t>
        </x:is>
      </x:c>
      <x:c r="AC149" s="2952" t="inlineStr">
        <x:is>
          <x:t xml:space="preserve">本轮 model-main ae058a98 + 6参数(无SoC带宽/延迟) 2026-09-26</x:t>
        </x:is>
      </x:c>
    </x:row>
    <x:row r="150" ht="20" customHeight="1">
      <x:c r="A150" s="2891" t="inlineStr">
        <x:is>
          <x:t xml:space="preserve">FP16</x:t>
        </x:is>
      </x:c>
      <x:c r="B150" s="2976" t="n">
        <x:v>256</x:v>
      </x:c>
      <x:c r="C150" s="2976" t="n">
        <x:v>128</x:v>
      </x:c>
      <x:c r="D150" s="2976" t="n">
        <x:v>7168</x:v>
      </x:c>
      <x:c r="E150" s="2976" t="n">
        <x:v>128</x:v>
      </x:c>
      <x:c r="F150" s="2976" t="n">
        <x:v>64</x:v>
      </x:c>
      <x:c r="G150" s="2976" t="n">
        <x:v>256</x:v>
      </x:c>
      <x:c r="H150" s="2977" t="n">
        <x:v>64</x:v>
      </x:c>
      <x:c r="I150" s="2977" t="n">
        <x:v>32</x:v>
      </x:c>
      <x:c r="J150" s="2977" t="n">
        <x:v>96</x:v>
      </x:c>
      <x:c r="K150" s="2978" t="n">
        <x:v>128</x:v>
      </x:c>
      <x:c r="L150" s="2976" t="n">
        <x:v>135905</x:v>
      </x:c>
      <x:c r="M150" s="2895" t="n">
        <x:f>IF(AND(ISNUMBER(L150),L150&gt;0),ROUND(B150*C150*D150/4096/L150*100,1)/100,"")</x:f>
        <x:v>0.42200000000000004</x:v>
      </x:c>
      <x:c r="N150" s="2976" t="n">
        <x:f>IF(OR(B150="",C150="",D150="",E150="",F150="",G150=""),"",ROUNDUP(B150/MIN(E150,128),0)*(C150/F150)*(D150/G150)*((MIN(B150,MIN(E150,128))+F150)*G150*2/1024))</x:f>
        <x:v>10752</x:v>
      </x:c>
      <x:c r="O150" s="2896" t="n">
        <x:f>IF(AND(ISNUMBER(N150),ISNUMBER(K150),K150&gt;0),N150*1024/K150,"")</x:f>
        <x:v>86016</x:v>
      </x:c>
      <x:c r="P150" s="2897" t="n">
        <x:f>IF(OR(E150="",F150="",G150=""),"",((H150+I150)*1024)/(E150*F150*G150/4096))</x:f>
        <x:v>192</x:v>
      </x:c>
      <x:c r="Q150" s="2897" t="n">
        <x:f>IF(OR(E150="",F150="",G150=""),"",(E150*F150*4)/(E150*F150*G150/4096))</x:f>
        <x:v>64</x:v>
      </x:c>
      <x:c r="R150" s="2895" t="n">
        <x:f>IF(AND(ISNUMBER(K150),K150&gt;0,ISNUMBER(P150),P150&gt;0),MIN(1,K150/P150),"")</x:f>
        <x:v>0.6666666666666666</x:v>
      </x:c>
      <x:c r="S150" s="2895" t="n">
        <x:f>IF(AND(ISNUMBER(K150),K150&gt;0,ISNUMBER(Q150),Q150&gt;0),MIN(1,K150/Q150),"")</x:f>
        <x:v>1</x:v>
      </x:c>
      <x:c r="T150" s="2895" t="n">
        <x:f>IF(AND(ISNUMBER(R150),ISNUMBER(S150)),MIN(R150,S150),"")</x:f>
        <x:v>0.6666666666666666</x:v>
      </x:c>
      <x:c r="U150" s="2897" t="n">
        <x:f>IF(AND(ISNUMBER(M150),ISNUMBER(T150)),(M150-T150)*100,"")</x:f>
        <x:v>-24.466666666666658</x:v>
      </x:c>
      <x:c r="V150" s="2976" t="n">
        <x:v>69847</x:v>
      </x:c>
      <x:c r="W150" s="2895" t="n">
        <x:v>1.642</x:v>
      </x:c>
      <x:c r="X150" s="2895" t="n">
        <x:f>IF(AND(ISNUMBER(L150),ISNUMBER(V150),L150&gt;0,V150&gt;0),(L150-V150)/L150,"")</x:f>
        <x:v>0.4860601155218719</x:v>
      </x:c>
      <x:c r="Y150" s="2958" t="n">
        <x:f>IF(AND(ISNUMBER(L150),ISNUMBER(V150),L150&gt;0,V150&gt;0),L150/V150,"")</x:f>
        <x:v>1.9457528598221827</x:v>
      </x:c>
      <x:c r="Z150" s="2895" t="n">
        <x:f>IF(AND(ISNUMBER(C150),ISNUMBER(F150),C150&gt;0,F150&gt;0),1-F150/C150,"")</x:f>
        <x:v>0.5</x:v>
      </x:c>
      <x:c r="AA150" s="2935" t="inlineStr">
        <x:is>
          <x:t xml:space="preserve">PASS</x:t>
        </x:is>
      </x:c>
      <x:c r="AB150" s="2935" t="inlineStr">
        <x:is>
          <x:t xml:space="preserve">PASS</x:t>
        </x:is>
      </x:c>
      <x:c r="AC150" s="2905" t="inlineStr">
        <x:is>
          <x:t xml:space="preserve">本轮 model-main ae058a98 + 6参数(无SoC带宽/延迟) 2026-09-26</x:t>
        </x:is>
      </x:c>
    </x:row>
    <x:row r="151" ht="20" customHeight="1">
      <x:c r="A151" s="2891" t="inlineStr">
        <x:is>
          <x:t xml:space="preserve">FP16</x:t>
        </x:is>
      </x:c>
      <x:c r="B151" s="2976" t="n">
        <x:v>256</x:v>
      </x:c>
      <x:c r="C151" s="2976" t="n">
        <x:v>128</x:v>
      </x:c>
      <x:c r="D151" s="2976" t="n">
        <x:v>7168</x:v>
      </x:c>
      <x:c r="E151" s="2976" t="n">
        <x:v>128</x:v>
      </x:c>
      <x:c r="F151" s="2976" t="n">
        <x:v>64</x:v>
      </x:c>
      <x:c r="G151" s="2976" t="n">
        <x:v>512</x:v>
      </x:c>
      <x:c r="H151" s="2977" t="n">
        <x:v>128</x:v>
      </x:c>
      <x:c r="I151" s="2977" t="n">
        <x:v>64</x:v>
      </x:c>
      <x:c r="J151" s="2977" t="n">
        <x:v>192</x:v>
      </x:c>
      <x:c r="K151" s="2978" t="n">
        <x:v>128</x:v>
      </x:c>
      <x:c r="L151" s="2976" t="n">
        <x:v>270303</x:v>
      </x:c>
      <x:c r="M151" s="2895" t="n">
        <x:f>IF(AND(ISNUMBER(L151),L151&gt;0),ROUND(B151*C151*D151/4096/L151*100,1)/100,"")</x:f>
        <x:v>0.212</x:v>
      </x:c>
      <x:c r="N151" s="2976" t="n">
        <x:f>IF(OR(B151="",C151="",D151="",E151="",F151="",G151=""),"",ROUNDUP(B151/MIN(E151,128),0)*(C151/F151)*(D151/G151)*((MIN(B151,MIN(E151,128))+F151)*G151*2/1024))</x:f>
        <x:v>10752</x:v>
      </x:c>
      <x:c r="O151" s="2896" t="n">
        <x:f>IF(AND(ISNUMBER(N151),ISNUMBER(K151),K151&gt;0),N151*1024/K151,"")</x:f>
        <x:v>86016</x:v>
      </x:c>
      <x:c r="P151" s="2897" t="n">
        <x:f>IF(OR(E151="",F151="",G151=""),"",((H151+I151)*1024)/(E151*F151*G151/4096))</x:f>
        <x:v>192</x:v>
      </x:c>
      <x:c r="Q151" s="2897" t="n">
        <x:f>IF(OR(E151="",F151="",G151=""),"",(E151*F151*4)/(E151*F151*G151/4096))</x:f>
        <x:v>32</x:v>
      </x:c>
      <x:c r="R151" s="2895" t="n">
        <x:f>IF(AND(ISNUMBER(K151),K151&gt;0,ISNUMBER(P151),P151&gt;0),MIN(1,K151/P151),"")</x:f>
        <x:v>0.6666666666666666</x:v>
      </x:c>
      <x:c r="S151" s="2895" t="n">
        <x:f>IF(AND(ISNUMBER(K151),K151&gt;0,ISNUMBER(Q151),Q151&gt;0),MIN(1,K151/Q151),"")</x:f>
        <x:v>1</x:v>
      </x:c>
      <x:c r="T151" s="2895" t="n">
        <x:f>IF(AND(ISNUMBER(R151),ISNUMBER(S151)),MIN(R151,S151),"")</x:f>
        <x:v>0.6666666666666666</x:v>
      </x:c>
      <x:c r="U151" s="2897" t="n">
        <x:f>IF(AND(ISNUMBER(M151),ISNUMBER(T151)),(M151-T151)*100,"")</x:f>
        <x:v>-45.46666666666667</x:v>
      </x:c>
      <x:c r="V151" s="2976" t="n">
        <x:v>163191</x:v>
      </x:c>
      <x:c r="W151" s="2895" t="n">
        <x:v>0.703</x:v>
      </x:c>
      <x:c r="X151" s="2895" t="n">
        <x:f>IF(AND(ISNUMBER(L151),ISNUMBER(V151),L151&gt;0,V151&gt;0),(L151-V151)/L151,"")</x:f>
        <x:v>0.39626641213749014</x:v>
      </x:c>
      <x:c r="Y151" s="2958" t="n">
        <x:f>IF(AND(ISNUMBER(L151),ISNUMBER(V151),L151&gt;0,V151&gt;0),L151/V151,"")</x:f>
        <x:v>1.6563597257201683</x:v>
      </x:c>
      <x:c r="Z151" s="2895" t="n">
        <x:f>IF(AND(ISNUMBER(C151),ISNUMBER(F151),C151&gt;0,F151&gt;0),1-F151/C151,"")</x:f>
        <x:v>0.5</x:v>
      </x:c>
      <x:c r="AA151" s="2935" t="inlineStr">
        <x:is>
          <x:t xml:space="preserve">PASS</x:t>
        </x:is>
      </x:c>
      <x:c r="AB151" s="2935" t="inlineStr">
        <x:is>
          <x:t xml:space="preserve">PASS</x:t>
        </x:is>
      </x:c>
      <x:c r="AC151" s="2905" t="inlineStr">
        <x:is>
          <x:t xml:space="preserve">本轮 model-main ae058a98 + 6参数(无SoC带宽/延迟) 2026-09-26</x:t>
        </x:is>
      </x:c>
    </x:row>
    <x:row r="152" ht="20" customHeight="1">
      <x:c r="A152" s="2891" t="inlineStr">
        <x:is>
          <x:t xml:space="preserve">FP16</x:t>
        </x:is>
      </x:c>
      <x:c r="B152" s="2976" t="n">
        <x:v>256</x:v>
      </x:c>
      <x:c r="C152" s="2976" t="n">
        <x:v>128</x:v>
      </x:c>
      <x:c r="D152" s="2976" t="n">
        <x:v>7168</x:v>
      </x:c>
      <x:c r="E152" s="2976" t="n">
        <x:v>128</x:v>
      </x:c>
      <x:c r="F152" s="2976" t="n">
        <x:v>128</x:v>
      </x:c>
      <x:c r="G152" s="2976" t="n">
        <x:v>64</x:v>
      </x:c>
      <x:c r="H152" s="2977" t="n">
        <x:v>16</x:v>
      </x:c>
      <x:c r="I152" s="2977" t="n">
        <x:v>16</x:v>
      </x:c>
      <x:c r="J152" s="2977" t="n">
        <x:v>32</x:v>
      </x:c>
      <x:c r="K152" s="2978" t="n">
        <x:v>128</x:v>
      </x:c>
      <x:c r="L152" s="2976" t="n">
        <x:v>90844</x:v>
      </x:c>
      <x:c r="M152" s="2895" t="n">
        <x:f>IF(AND(ISNUMBER(L152),L152&gt;0),ROUND(B152*C152*D152/4096/L152*100,1)/100,"")</x:f>
        <x:v>0.631</x:v>
      </x:c>
      <x:c r="N152" s="2976" t="n">
        <x:f>IF(OR(B152="",C152="",D152="",E152="",F152="",G152=""),"",ROUNDUP(B152/MIN(E152,128),0)*(C152/F152)*(D152/G152)*((MIN(B152,MIN(E152,128))+F152)*G152*2/1024))</x:f>
        <x:v>7168</x:v>
      </x:c>
      <x:c r="O152" s="2896" t="n">
        <x:f>IF(AND(ISNUMBER(N152),ISNUMBER(K152),K152&gt;0),N152*1024/K152,"")</x:f>
        <x:v>57344</x:v>
      </x:c>
      <x:c r="P152" s="2897" t="n">
        <x:f>IF(OR(E152="",F152="",G152=""),"",((H152+I152)*1024)/(E152*F152*G152/4096))</x:f>
        <x:v>128</x:v>
      </x:c>
      <x:c r="Q152" s="2897" t="n">
        <x:f>IF(OR(E152="",F152="",G152=""),"",(E152*F152*4)/(E152*F152*G152/4096))</x:f>
        <x:v>256</x:v>
      </x:c>
      <x:c r="R152" s="2895" t="n">
        <x:f>IF(AND(ISNUMBER(K152),K152&gt;0,ISNUMBER(P152),P152&gt;0),MIN(1,K152/P152),"")</x:f>
        <x:v>1</x:v>
      </x:c>
      <x:c r="S152" s="2895" t="n">
        <x:f>IF(AND(ISNUMBER(K152),K152&gt;0,ISNUMBER(Q152),Q152&gt;0),MIN(1,K152/Q152),"")</x:f>
        <x:v>0.5</x:v>
      </x:c>
      <x:c r="T152" s="2895" t="n">
        <x:f>IF(AND(ISNUMBER(R152),ISNUMBER(S152)),MIN(R152,S152),"")</x:f>
        <x:v>0.5</x:v>
      </x:c>
      <x:c r="U152" s="2897" t="n">
        <x:f>IF(AND(ISNUMBER(M152),ISNUMBER(T152)),(M152-T152)*100,"")</x:f>
        <x:v>13.100000000000001</x:v>
      </x:c>
      <x:c r="V152" s="2976" t="n">
        <x:v>90390</x:v>
      </x:c>
      <x:c r="W152" s="2895" t="n">
        <x:v>1.269</x:v>
      </x:c>
      <x:c r="X152" s="2895" t="n">
        <x:f>IF(AND(ISNUMBER(L152),ISNUMBER(V152),L152&gt;0,V152&gt;0),(L152-V152)/L152,"")</x:f>
        <x:v>0.004997578266038484</x:v>
      </x:c>
      <x:c r="Y152" s="2958" t="n">
        <x:f>IF(AND(ISNUMBER(L152),ISNUMBER(V152),L152&gt;0,V152&gt;0),L152/V152,"")</x:f>
        <x:v>1.0050226794999446</x:v>
      </x:c>
      <x:c r="Z152" s="2895" t="n">
        <x:f>IF(AND(ISNUMBER(C152),ISNUMBER(F152),C152&gt;0,F152&gt;0),1-F152/C152,"")</x:f>
        <x:v>0</x:v>
      </x:c>
      <x:c r="AA152" s="2935" t="inlineStr">
        <x:is>
          <x:t xml:space="preserve">PASS</x:t>
        </x:is>
      </x:c>
      <x:c r="AB152" s="2935" t="inlineStr">
        <x:is>
          <x:t xml:space="preserve">PASS</x:t>
        </x:is>
      </x:c>
      <x:c r="AC152" s="2905" t="inlineStr">
        <x:is>
          <x:t xml:space="preserve">本轮 model-main ae058a98 + 6参数(无SoC带宽/延迟) 2026-09-26</x:t>
        </x:is>
      </x:c>
    </x:row>
    <x:row r="153" ht="20" customHeight="1">
      <x:c r="A153" s="2891" t="inlineStr">
        <x:is>
          <x:t xml:space="preserve">FP16</x:t>
        </x:is>
      </x:c>
      <x:c r="B153" s="2976" t="n">
        <x:v>256</x:v>
      </x:c>
      <x:c r="C153" s="2976" t="n">
        <x:v>128</x:v>
      </x:c>
      <x:c r="D153" s="2976" t="n">
        <x:v>7168</x:v>
      </x:c>
      <x:c r="E153" s="2976" t="n">
        <x:v>128</x:v>
      </x:c>
      <x:c r="F153" s="2976" t="n">
        <x:v>128</x:v>
      </x:c>
      <x:c r="G153" s="2976" t="n">
        <x:v>128</x:v>
      </x:c>
      <x:c r="H153" s="2977" t="n">
        <x:v>32</x:v>
      </x:c>
      <x:c r="I153" s="2977" t="n">
        <x:v>32</x:v>
      </x:c>
      <x:c r="J153" s="2977" t="n">
        <x:v>64</x:v>
      </x:c>
      <x:c r="K153" s="2978" t="n">
        <x:v>128</x:v>
      </x:c>
      <x:c r="L153" s="2976" t="n">
        <x:v>91124</x:v>
      </x:c>
      <x:c r="M153" s="2895" t="n">
        <x:f>IF(AND(ISNUMBER(L153),L153&gt;0),ROUND(B153*C153*D153/4096/L153*100,1)/100,"")</x:f>
        <x:v>0.629</x:v>
      </x:c>
      <x:c r="N153" s="2976" t="n">
        <x:f>IF(OR(B153="",C153="",D153="",E153="",F153="",G153=""),"",ROUNDUP(B153/MIN(E153,128),0)*(C153/F153)*(D153/G153)*((MIN(B153,MIN(E153,128))+F153)*G153*2/1024))</x:f>
        <x:v>7168</x:v>
      </x:c>
      <x:c r="O153" s="2896" t="n">
        <x:f>IF(AND(ISNUMBER(N153),ISNUMBER(K153),K153&gt;0),N153*1024/K153,"")</x:f>
        <x:v>57344</x:v>
      </x:c>
      <x:c r="P153" s="2897" t="n">
        <x:f>IF(OR(E153="",F153="",G153=""),"",((H153+I153)*1024)/(E153*F153*G153/4096))</x:f>
        <x:v>128</x:v>
      </x:c>
      <x:c r="Q153" s="2897" t="n">
        <x:f>IF(OR(E153="",F153="",G153=""),"",(E153*F153*4)/(E153*F153*G153/4096))</x:f>
        <x:v>128</x:v>
      </x:c>
      <x:c r="R153" s="2895" t="n">
        <x:f>IF(AND(ISNUMBER(K153),K153&gt;0,ISNUMBER(P153),P153&gt;0),MIN(1,K153/P153),"")</x:f>
        <x:v>1</x:v>
      </x:c>
      <x:c r="S153" s="2895" t="n">
        <x:f>IF(AND(ISNUMBER(K153),K153&gt;0,ISNUMBER(Q153),Q153&gt;0),MIN(1,K153/Q153),"")</x:f>
        <x:v>1</x:v>
      </x:c>
      <x:c r="T153" s="2895" t="n">
        <x:f>IF(AND(ISNUMBER(R153),ISNUMBER(S153)),MIN(R153,S153),"")</x:f>
        <x:v>1</x:v>
      </x:c>
      <x:c r="U153" s="2897" t="n">
        <x:f>IF(AND(ISNUMBER(M153),ISNUMBER(T153)),(M153-T153)*100,"")</x:f>
        <x:v>-37.1</x:v>
      </x:c>
      <x:c r="V153" s="2976" t="n">
        <x:v>70905</x:v>
      </x:c>
      <x:c r="W153" s="2895" t="n">
        <x:v>1.617</x:v>
      </x:c>
      <x:c r="X153" s="2895" t="n">
        <x:f>IF(AND(ISNUMBER(L153),ISNUMBER(V153),L153&gt;0,V153&gt;0),(L153-V153)/L153,"")</x:f>
        <x:v>0.22188446512444582</x:v>
      </x:c>
      <x:c r="Y153" s="2958" t="n">
        <x:f>IF(AND(ISNUMBER(L153),ISNUMBER(V153),L153&gt;0,V153&gt;0),L153/V153,"")</x:f>
        <x:v>1.2851561949086807</x:v>
      </x:c>
      <x:c r="Z153" s="2895" t="n">
        <x:f>IF(AND(ISNUMBER(C153),ISNUMBER(F153),C153&gt;0,F153&gt;0),1-F153/C153,"")</x:f>
        <x:v>0</x:v>
      </x:c>
      <x:c r="AA153" s="2935" t="inlineStr">
        <x:is>
          <x:t xml:space="preserve">PASS</x:t>
        </x:is>
      </x:c>
      <x:c r="AB153" s="2935" t="inlineStr">
        <x:is>
          <x:t xml:space="preserve">PASS</x:t>
        </x:is>
      </x:c>
      <x:c r="AC153" s="2905" t="inlineStr">
        <x:is>
          <x:t xml:space="preserve">本轮 model-main ae058a98 + 6参数(无SoC带宽/延迟) 2026-09-26</x:t>
        </x:is>
      </x:c>
    </x:row>
    <x:row r="154" ht="20" customHeight="1">
      <x:c r="A154" s="2891" t="inlineStr">
        <x:is>
          <x:t xml:space="preserve">FP16</x:t>
        </x:is>
      </x:c>
      <x:c r="B154" s="2976" t="n">
        <x:v>256</x:v>
      </x:c>
      <x:c r="C154" s="2976" t="n">
        <x:v>128</x:v>
      </x:c>
      <x:c r="D154" s="2976" t="n">
        <x:v>7168</x:v>
      </x:c>
      <x:c r="E154" s="2976" t="n">
        <x:v>128</x:v>
      </x:c>
      <x:c r="F154" s="2976" t="n">
        <x:v>128</x:v>
      </x:c>
      <x:c r="G154" s="2976" t="n">
        <x:v>256</x:v>
      </x:c>
      <x:c r="H154" s="2977" t="n">
        <x:v>64</x:v>
      </x:c>
      <x:c r="I154" s="2977" t="n">
        <x:v>64</x:v>
      </x:c>
      <x:c r="J154" s="2977" t="n">
        <x:v>128</x:v>
      </x:c>
      <x:c r="K154" s="2978" t="n">
        <x:v>128</x:v>
      </x:c>
      <x:c r="L154" s="2976" t="n">
        <x:v>97505</x:v>
      </x:c>
      <x:c r="M154" s="2895" t="n">
        <x:f>IF(AND(ISNUMBER(L154),L154&gt;0),ROUND(B154*C154*D154/4096/L154*100,1)/100,"")</x:f>
        <x:v>0.588</x:v>
      </x:c>
      <x:c r="N154" s="2976" t="n">
        <x:f>IF(OR(B154="",C154="",D154="",E154="",F154="",G154=""),"",ROUNDUP(B154/MIN(E154,128),0)*(C154/F154)*(D154/G154)*((MIN(B154,MIN(E154,128))+F154)*G154*2/1024))</x:f>
        <x:v>7168</x:v>
      </x:c>
      <x:c r="O154" s="2896" t="n">
        <x:f>IF(AND(ISNUMBER(N154),ISNUMBER(K154),K154&gt;0),N154*1024/K154,"")</x:f>
        <x:v>57344</x:v>
      </x:c>
      <x:c r="P154" s="2897" t="n">
        <x:f>IF(OR(E154="",F154="",G154=""),"",((H154+I154)*1024)/(E154*F154*G154/4096))</x:f>
        <x:v>128</x:v>
      </x:c>
      <x:c r="Q154" s="2897" t="n">
        <x:f>IF(OR(E154="",F154="",G154=""),"",(E154*F154*4)/(E154*F154*G154/4096))</x:f>
        <x:v>64</x:v>
      </x:c>
      <x:c r="R154" s="2895" t="n">
        <x:f>IF(AND(ISNUMBER(K154),K154&gt;0,ISNUMBER(P154),P154&gt;0),MIN(1,K154/P154),"")</x:f>
        <x:v>1</x:v>
      </x:c>
      <x:c r="S154" s="2895" t="n">
        <x:f>IF(AND(ISNUMBER(K154),K154&gt;0,ISNUMBER(Q154),Q154&gt;0),MIN(1,K154/Q154),"")</x:f>
        <x:v>1</x:v>
      </x:c>
      <x:c r="T154" s="2895" t="n">
        <x:f>IF(AND(ISNUMBER(R154),ISNUMBER(S154)),MIN(R154,S154),"")</x:f>
        <x:v>1</x:v>
      </x:c>
      <x:c r="U154" s="2897" t="n">
        <x:f>IF(AND(ISNUMBER(M154),ISNUMBER(T154)),(M154-T154)*100,"")</x:f>
        <x:v>-41.2</x:v>
      </x:c>
      <x:c r="V154" s="2976" t="n">
        <x:v>71442</x:v>
      </x:c>
      <x:c r="W154" s="2895" t="n">
        <x:v>1.605</x:v>
      </x:c>
      <x:c r="X154" s="2895" t="n">
        <x:f>IF(AND(ISNUMBER(L154),ISNUMBER(V154),L154&gt;0,V154&gt;0),(L154-V154)/L154,"")</x:f>
        <x:v>0.2672991128660069</x:v>
      </x:c>
      <x:c r="Y154" s="2958" t="n">
        <x:f>IF(AND(ISNUMBER(L154),ISNUMBER(V154),L154&gt;0,V154&gt;0),L154/V154,"")</x:f>
        <x:v>1.3648134150779654</x:v>
      </x:c>
      <x:c r="Z154" s="2895" t="n">
        <x:f>IF(AND(ISNUMBER(C154),ISNUMBER(F154),C154&gt;0,F154&gt;0),1-F154/C154,"")</x:f>
        <x:v>0</x:v>
      </x:c>
      <x:c r="AA154" s="2935" t="inlineStr">
        <x:is>
          <x:t xml:space="preserve">PASS</x:t>
        </x:is>
      </x:c>
      <x:c r="AB154" s="2935" t="inlineStr">
        <x:is>
          <x:t xml:space="preserve">PASS</x:t>
        </x:is>
      </x:c>
      <x:c r="AC154" s="2905" t="inlineStr">
        <x:is>
          <x:t xml:space="preserve">本轮 model-main ae058a98 + 6参数(无SoC带宽/延迟) 2026-09-26</x:t>
        </x:is>
      </x:c>
    </x:row>
    <x:row r="155" ht="20" customHeight="1">
      <x:c r="A155" s="2891" t="inlineStr">
        <x:is>
          <x:t xml:space="preserve">FP16</x:t>
        </x:is>
      </x:c>
      <x:c r="B155" s="2976" t="n">
        <x:v>256</x:v>
      </x:c>
      <x:c r="C155" s="2976" t="n">
        <x:v>128</x:v>
      </x:c>
      <x:c r="D155" s="2976" t="n">
        <x:v>7168</x:v>
      </x:c>
      <x:c r="E155" s="2976" t="n">
        <x:v>128</x:v>
      </x:c>
      <x:c r="F155" s="2976" t="n">
        <x:v>128</x:v>
      </x:c>
      <x:c r="G155" s="2976" t="n">
        <x:v>512</x:v>
      </x:c>
      <x:c r="H155" s="2977" t="n">
        <x:v>128</x:v>
      </x:c>
      <x:c r="I155" s="2977" t="n">
        <x:v>128</x:v>
      </x:c>
      <x:c r="J155" s="2977" t="n">
        <x:v>256</x:v>
      </x:c>
      <x:c r="K155" s="2978" t="n">
        <x:v>128</x:v>
      </x:c>
      <x:c r="L155" s="2976" t="n">
        <x:v>186583</x:v>
      </x:c>
      <x:c r="M155" s="2895" t="n">
        <x:f>IF(AND(ISNUMBER(L155),L155&gt;0),ROUND(B155*C155*D155/4096/L155*100,1)/100,"")</x:f>
        <x:v>0.307</x:v>
      </x:c>
      <x:c r="N155" s="2976" t="n">
        <x:f>IF(OR(B155="",C155="",D155="",E155="",F155="",G155=""),"",ROUNDUP(B155/MIN(E155,128),0)*(C155/F155)*(D155/G155)*((MIN(B155,MIN(E155,128))+F155)*G155*2/1024))</x:f>
        <x:v>7168</x:v>
      </x:c>
      <x:c r="O155" s="2896" t="n">
        <x:f>IF(AND(ISNUMBER(N155),ISNUMBER(K155),K155&gt;0),N155*1024/K155,"")</x:f>
        <x:v>57344</x:v>
      </x:c>
      <x:c r="P155" s="2897" t="n">
        <x:f>IF(OR(E155="",F155="",G155=""),"",((H155+I155)*1024)/(E155*F155*G155/4096))</x:f>
        <x:v>128</x:v>
      </x:c>
      <x:c r="Q155" s="2897" t="n">
        <x:f>IF(OR(E155="",F155="",G155=""),"",(E155*F155*4)/(E155*F155*G155/4096))</x:f>
        <x:v>32</x:v>
      </x:c>
      <x:c r="R155" s="2895" t="n">
        <x:f>IF(AND(ISNUMBER(K155),K155&gt;0,ISNUMBER(P155),P155&gt;0),MIN(1,K155/P155),"")</x:f>
        <x:v>1</x:v>
      </x:c>
      <x:c r="S155" s="2895" t="n">
        <x:f>IF(AND(ISNUMBER(K155),K155&gt;0,ISNUMBER(Q155),Q155&gt;0),MIN(1,K155/Q155),"")</x:f>
        <x:v>1</x:v>
      </x:c>
      <x:c r="T155" s="2895" t="n">
        <x:f>IF(AND(ISNUMBER(R155),ISNUMBER(S155)),MIN(R155,S155),"")</x:f>
        <x:v>1</x:v>
      </x:c>
      <x:c r="U155" s="2897" t="n">
        <x:f>IF(AND(ISNUMBER(M155),ISNUMBER(T155)),(M155-T155)*100,"")</x:f>
        <x:v>-69.30000000000001</x:v>
      </x:c>
      <x:c r="V155" s="2976" t="n">
        <x:v>166526</x:v>
      </x:c>
      <x:c r="W155" s="2895" t="n">
        <x:v>0.6889999999999999</x:v>
      </x:c>
      <x:c r="X155" s="2895" t="n">
        <x:f>IF(AND(ISNUMBER(L155),ISNUMBER(V155),L155&gt;0,V155&gt;0),(L155-V155)/L155,"")</x:f>
        <x:v>0.10749639570593247</x:v>
      </x:c>
      <x:c r="Y155" s="2958" t="n">
        <x:f>IF(AND(ISNUMBER(L155),ISNUMBER(V155),L155&gt;0,V155&gt;0),L155/V155,"")</x:f>
        <x:v>1.120443654444351</x:v>
      </x:c>
      <x:c r="Z155" s="2895" t="n">
        <x:f>IF(AND(ISNUMBER(C155),ISNUMBER(F155),C155&gt;0,F155&gt;0),1-F155/C155,"")</x:f>
        <x:v>0</x:v>
      </x:c>
      <x:c r="AA155" s="2935" t="inlineStr">
        <x:is>
          <x:t xml:space="preserve">PASS</x:t>
        </x:is>
      </x:c>
      <x:c r="AB155" s="2935" t="inlineStr">
        <x:is>
          <x:t xml:space="preserve">PASS</x:t>
        </x:is>
      </x:c>
      <x:c r="AC155" s="2905" t="inlineStr">
        <x:is>
          <x:t xml:space="preserve">本轮 model-main ae058a98 + 6参数(无SoC带宽/延迟) 2026-09-26</x:t>
        </x:is>
      </x:c>
    </x:row>
    <x:row r="156" ht="20" customHeight="1">
      <x:c r="A156" s="2822" t="inlineStr">
        <x:is>
          <x:t xml:space="preserve">FP8</x:t>
        </x:is>
      </x:c>
      <x:c r="B156" s="2964" t="n"/>
      <x:c r="C156" s="2964" t="n"/>
      <x:c r="D156" s="2964" t="n"/>
      <x:c r="E156" s="2964" t="n"/>
      <x:c r="F156" s="2964" t="n"/>
      <x:c r="G156" s="2964" t="n"/>
      <x:c r="H156" s="2965" t="n"/>
      <x:c r="I156" s="2965" t="n"/>
      <x:c r="J156" s="2965" t="n"/>
      <x:c r="K156" s="2966"/>
      <x:c r="L156" s="2964" t="n"/>
      <x:c r="M156" s="2826" t="str"/>
      <x:c r="N156" s="2964" t="str"/>
      <x:c r="O156" s="2827" t="str"/>
      <x:c r="P156" s="2828" t="str"/>
      <x:c r="Q156" s="2828" t="str"/>
      <x:c r="R156" s="2826" t="str"/>
      <x:c r="S156" s="2826" t="str"/>
      <x:c r="T156" s="2826" t="str"/>
      <x:c r="U156" s="2828" t="str"/>
      <x:c r="V156" s="2964" t="n"/>
      <x:c r="W156" s="2826" t="n"/>
      <x:c r="X156" s="2826" t="n"/>
      <x:c r="Y156" s="2954" t="n"/>
      <x:c r="Z156" s="2826" t="n"/>
      <x:c r="AA156" s="2822" t="n"/>
      <x:c r="AB156" s="2822" t="n"/>
      <x:c r="AC156" s="2822" t="n"/>
    </x:row>
    <x:row r="157" ht="20" customHeight="1">
      <x:c r="A157" s="2916" t="inlineStr">
        <x:is>
          <x:t xml:space="preserve">FP8</x:t>
        </x:is>
      </x:c>
      <x:c r="B157" s="2979" t="n">
        <x:v>256</x:v>
      </x:c>
      <x:c r="C157" s="2979" t="n">
        <x:v>128</x:v>
      </x:c>
      <x:c r="D157" s="2979" t="n">
        <x:v>7168</x:v>
      </x:c>
      <x:c r="E157" s="2979" t="n">
        <x:v>128</x:v>
      </x:c>
      <x:c r="F157" s="2979" t="n">
        <x:v>64</x:v>
      </x:c>
      <x:c r="G157" s="2979" t="n">
        <x:v>256</x:v>
      </x:c>
      <x:c r="H157" s="2980" t="n">
        <x:v>32</x:v>
      </x:c>
      <x:c r="I157" s="2980" t="n">
        <x:v>16</x:v>
      </x:c>
      <x:c r="J157" s="2980" t="n">
        <x:v>48</x:v>
      </x:c>
      <x:c r="K157" s="2981" t="n">
        <x:v>128</x:v>
      </x:c>
      <x:c r="L157" s="2979" t="n">
        <x:v>69326</x:v>
      </x:c>
      <x:c r="M157" s="2920" t="n">
        <x:f>IF(AND(ISNUMBER(L157),L157&gt;0),ROUND(B157*C157*D157/8192/L157*100,1)/100,"")</x:f>
        <x:v>0.414</x:v>
      </x:c>
      <x:c r="N157" s="2979" t="n">
        <x:f>IF(OR(B157="",C157="",D157="",E157="",F157="",G157=""),"",ROUNDUP(B157/MIN(E157,128),0)*(C157/F157)*(D157/G157)*((MIN(B157,MIN(E157,128))+F157)*G157*1/1024))</x:f>
        <x:v>5376</x:v>
      </x:c>
      <x:c r="O157" s="2921" t="n">
        <x:f>IF(AND(ISNUMBER(N157),ISNUMBER(K157),K157&gt;0),N157*1024/K157,"")</x:f>
        <x:v>43008</x:v>
      </x:c>
      <x:c r="P157" s="2922" t="n">
        <x:f>IF(OR(E157="",F157="",G157=""),"",((H157+I157)*1024)/(E157*F157*G157/8192))</x:f>
        <x:v>192</x:v>
      </x:c>
      <x:c r="Q157" s="2922" t="n">
        <x:f>IF(OR(E157="",F157="",G157=""),"",(E157*F157*4)/(E157*F157*G157/8192))</x:f>
        <x:v>128</x:v>
      </x:c>
      <x:c r="R157" s="2920" t="n">
        <x:f>IF(AND(ISNUMBER(K157),K157&gt;0,ISNUMBER(P157),P157&gt;0),MIN(1,K157/P157),"")</x:f>
        <x:v>0.6666666666666666</x:v>
      </x:c>
      <x:c r="S157" s="2920" t="n">
        <x:f>IF(AND(ISNUMBER(K157),K157&gt;0,ISNUMBER(Q157),Q157&gt;0),MIN(1,K157/Q157),"")</x:f>
        <x:v>1</x:v>
      </x:c>
      <x:c r="T157" s="2920" t="n">
        <x:f>IF(AND(ISNUMBER(R157),ISNUMBER(S157)),MIN(R157,S157),"")</x:f>
        <x:v>0.6666666666666666</x:v>
      </x:c>
      <x:c r="U157" s="2922" t="n">
        <x:f>IF(AND(ISNUMBER(M157),ISNUMBER(T157)),(M157-T157)*100,"")</x:f>
        <x:v>-25.266666666666666</x:v>
      </x:c>
      <x:c r="V157" s="2979" t="n"/>
      <x:c r="W157" s="2920" t="n"/>
      <x:c r="X157" s="2920" t="n"/>
      <x:c r="Y157" s="2959" t="n"/>
      <x:c r="Z157" s="2920" t="n"/>
      <x:c r="AA157" s="2937" t="n"/>
      <x:c r="AB157" s="2938" t="inlineStr">
        <x:is>
          <x:t xml:space="preserve">PASS</x:t>
        </x:is>
      </x:c>
      <x:c r="AC157" s="2930" t="inlineStr">
        <x:is>
          <x:t xml:space="preserve">matmul_shared_lowp（FP8）；本轮 model-main ae058a98 + 6参数(无SoC带宽/延迟) 2026-09-26</x:t>
        </x:is>
      </x:c>
    </x:row>
    <x:row r="158" ht="20" customHeight="1">
      <x:c r="A158" s="2916" t="inlineStr">
        <x:is>
          <x:t xml:space="preserve">FP8</x:t>
        </x:is>
      </x:c>
      <x:c r="B158" s="2979" t="n">
        <x:v>256</x:v>
      </x:c>
      <x:c r="C158" s="2979" t="n">
        <x:v>128</x:v>
      </x:c>
      <x:c r="D158" s="2979" t="n">
        <x:v>7168</x:v>
      </x:c>
      <x:c r="E158" s="2979" t="n">
        <x:v>128</x:v>
      </x:c>
      <x:c r="F158" s="2979" t="n">
        <x:v>64</x:v>
      </x:c>
      <x:c r="G158" s="2979" t="n">
        <x:v>512</x:v>
      </x:c>
      <x:c r="H158" s="2980" t="n">
        <x:v>64</x:v>
      </x:c>
      <x:c r="I158" s="2980" t="n">
        <x:v>32</x:v>
      </x:c>
      <x:c r="J158" s="2980" t="n">
        <x:v>96</x:v>
      </x:c>
      <x:c r="K158" s="2981" t="n">
        <x:v>128</x:v>
      </x:c>
      <x:c r="L158" s="2979" t="n">
        <x:v>69676</x:v>
      </x:c>
      <x:c r="M158" s="2920" t="n">
        <x:f>IF(AND(ISNUMBER(L158),L158&gt;0),ROUND(B158*C158*D158/8192/L158*100,1)/100,"")</x:f>
        <x:v>0.41200000000000003</x:v>
      </x:c>
      <x:c r="N158" s="2979" t="n">
        <x:f>IF(OR(B158="",C158="",D158="",E158="",F158="",G158=""),"",ROUNDUP(B158/MIN(E158,128),0)*(C158/F158)*(D158/G158)*((MIN(B158,MIN(E158,128))+F158)*G158*1/1024))</x:f>
        <x:v>5376</x:v>
      </x:c>
      <x:c r="O158" s="2921" t="n">
        <x:f>IF(AND(ISNUMBER(N158),ISNUMBER(K158),K158&gt;0),N158*1024/K158,"")</x:f>
        <x:v>43008</x:v>
      </x:c>
      <x:c r="P158" s="2922" t="n">
        <x:f>IF(OR(E158="",F158="",G158=""),"",((H158+I158)*1024)/(E158*F158*G158/8192))</x:f>
        <x:v>192</x:v>
      </x:c>
      <x:c r="Q158" s="2922" t="n">
        <x:f>IF(OR(E158="",F158="",G158=""),"",(E158*F158*4)/(E158*F158*G158/8192))</x:f>
        <x:v>64</x:v>
      </x:c>
      <x:c r="R158" s="2920" t="n">
        <x:f>IF(AND(ISNUMBER(K158),K158&gt;0,ISNUMBER(P158),P158&gt;0),MIN(1,K158/P158),"")</x:f>
        <x:v>0.6666666666666666</x:v>
      </x:c>
      <x:c r="S158" s="2920" t="n">
        <x:f>IF(AND(ISNUMBER(K158),K158&gt;0,ISNUMBER(Q158),Q158&gt;0),MIN(1,K158/Q158),"")</x:f>
        <x:v>1</x:v>
      </x:c>
      <x:c r="T158" s="2920" t="n">
        <x:f>IF(AND(ISNUMBER(R158),ISNUMBER(S158)),MIN(R158,S158),"")</x:f>
        <x:v>0.6666666666666666</x:v>
      </x:c>
      <x:c r="U158" s="2922" t="n">
        <x:f>IF(AND(ISNUMBER(M158),ISNUMBER(T158)),(M158-T158)*100,"")</x:f>
        <x:v>-25.46666666666666</x:v>
      </x:c>
      <x:c r="V158" s="2979" t="n"/>
      <x:c r="W158" s="2920" t="n"/>
      <x:c r="X158" s="2920" t="n"/>
      <x:c r="Y158" s="2959" t="n"/>
      <x:c r="Z158" s="2920" t="n"/>
      <x:c r="AA158" s="2937" t="n"/>
      <x:c r="AB158" s="2938" t="inlineStr">
        <x:is>
          <x:t xml:space="preserve">PASS</x:t>
        </x:is>
      </x:c>
      <x:c r="AC158" s="2930" t="inlineStr">
        <x:is>
          <x:t xml:space="preserve">matmul_shared_lowp（FP8）；本轮 model-main ae058a98 + 6参数(无SoC带宽/延迟) 2026-09-26</x:t>
        </x:is>
      </x:c>
    </x:row>
    <x:row r="159" ht="20" customHeight="1">
      <x:c r="A159" s="2916" t="inlineStr">
        <x:is>
          <x:t xml:space="preserve">FP8</x:t>
        </x:is>
      </x:c>
      <x:c r="B159" s="2979" t="n">
        <x:v>256</x:v>
      </x:c>
      <x:c r="C159" s="2979" t="n">
        <x:v>128</x:v>
      </x:c>
      <x:c r="D159" s="2979" t="n">
        <x:v>7168</x:v>
      </x:c>
      <x:c r="E159" s="2979" t="n">
        <x:v>128</x:v>
      </x:c>
      <x:c r="F159" s="2979" t="n">
        <x:v>64</x:v>
      </x:c>
      <x:c r="G159" s="2979" t="n">
        <x:v>1024</x:v>
      </x:c>
      <x:c r="H159" s="2980" t="n">
        <x:v>128</x:v>
      </x:c>
      <x:c r="I159" s="2980" t="n">
        <x:v>64</x:v>
      </x:c>
      <x:c r="J159" s="2980" t="n">
        <x:v>192</x:v>
      </x:c>
      <x:c r="K159" s="2981" t="n">
        <x:v>128</x:v>
      </x:c>
      <x:c r="L159" s="2979" t="n">
        <x:v>135804</x:v>
      </x:c>
      <x:c r="M159" s="2920" t="n">
        <x:f>IF(AND(ISNUMBER(L159),L159&gt;0),ROUND(B159*C159*D159/8192/L159*100,1)/100,"")</x:f>
        <x:v>0.21100000000000002</x:v>
      </x:c>
      <x:c r="N159" s="2979" t="n">
        <x:f>IF(OR(B159="",C159="",D159="",E159="",F159="",G159=""),"",ROUNDUP(B159/MIN(E159,128),0)*(C159/F159)*(D159/G159)*((MIN(B159,MIN(E159,128))+F159)*G159*1/1024))</x:f>
        <x:v>5376</x:v>
      </x:c>
      <x:c r="O159" s="2921" t="n">
        <x:f>IF(AND(ISNUMBER(N159),ISNUMBER(K159),K159&gt;0),N159*1024/K159,"")</x:f>
        <x:v>43008</x:v>
      </x:c>
      <x:c r="P159" s="2922" t="n">
        <x:f>IF(OR(E159="",F159="",G159=""),"",((H159+I159)*1024)/(E159*F159*G159/8192))</x:f>
        <x:v>192</x:v>
      </x:c>
      <x:c r="Q159" s="2922" t="n">
        <x:f>IF(OR(E159="",F159="",G159=""),"",(E159*F159*4)/(E159*F159*G159/8192))</x:f>
        <x:v>32</x:v>
      </x:c>
      <x:c r="R159" s="2920" t="n">
        <x:f>IF(AND(ISNUMBER(K159),K159&gt;0,ISNUMBER(P159),P159&gt;0),MIN(1,K159/P159),"")</x:f>
        <x:v>0.6666666666666666</x:v>
      </x:c>
      <x:c r="S159" s="2920" t="n">
        <x:f>IF(AND(ISNUMBER(K159),K159&gt;0,ISNUMBER(Q159),Q159&gt;0),MIN(1,K159/Q159),"")</x:f>
        <x:v>1</x:v>
      </x:c>
      <x:c r="T159" s="2920" t="n">
        <x:f>IF(AND(ISNUMBER(R159),ISNUMBER(S159)),MIN(R159,S159),"")</x:f>
        <x:v>0.6666666666666666</x:v>
      </x:c>
      <x:c r="U159" s="2922" t="n">
        <x:f>IF(AND(ISNUMBER(M159),ISNUMBER(T159)),(M159-T159)*100,"")</x:f>
        <x:v>-45.56666666666666</x:v>
      </x:c>
      <x:c r="V159" s="2979" t="n"/>
      <x:c r="W159" s="2920" t="n"/>
      <x:c r="X159" s="2920" t="n"/>
      <x:c r="Y159" s="2959" t="n"/>
      <x:c r="Z159" s="2920" t="n"/>
      <x:c r="AA159" s="2937" t="n"/>
      <x:c r="AB159" s="2938" t="inlineStr">
        <x:is>
          <x:t xml:space="preserve">PASS</x:t>
        </x:is>
      </x:c>
      <x:c r="AC159" s="2930" t="inlineStr">
        <x:is>
          <x:t xml:space="preserve">matmul_shared_lowp（FP8）；本轮 model-main ae058a98 + 6参数(无SoC带宽/延迟) 2026-09-26</x:t>
        </x:is>
      </x:c>
    </x:row>
    <x:row r="160" ht="20" customHeight="1">
      <x:c r="A160" s="2916" t="inlineStr">
        <x:is>
          <x:t xml:space="preserve">FP8</x:t>
        </x:is>
      </x:c>
      <x:c r="B160" s="2979" t="n">
        <x:v>256</x:v>
      </x:c>
      <x:c r="C160" s="2979" t="n">
        <x:v>128</x:v>
      </x:c>
      <x:c r="D160" s="2979" t="n">
        <x:v>7168</x:v>
      </x:c>
      <x:c r="E160" s="2979" t="n">
        <x:v>128</x:v>
      </x:c>
      <x:c r="F160" s="2979" t="n">
        <x:v>128</x:v>
      </x:c>
      <x:c r="G160" s="2979" t="n">
        <x:v>256</x:v>
      </x:c>
      <x:c r="H160" s="2980" t="n">
        <x:v>32</x:v>
      </x:c>
      <x:c r="I160" s="2980" t="n">
        <x:v>32</x:v>
      </x:c>
      <x:c r="J160" s="2980" t="n">
        <x:v>64</x:v>
      </x:c>
      <x:c r="K160" s="2981" t="n">
        <x:v>128</x:v>
      </x:c>
      <x:c r="L160" s="2979" t="n">
        <x:v>47158</x:v>
      </x:c>
      <x:c r="M160" s="2920" t="n">
        <x:f>IF(AND(ISNUMBER(L160),L160&gt;0),ROUND(B160*C160*D160/8192/L160*100,1)/100,"")</x:f>
        <x:v>0.608</x:v>
      </x:c>
      <x:c r="N160" s="2979" t="n">
        <x:f>IF(OR(B160="",C160="",D160="",E160="",F160="",G160=""),"",ROUNDUP(B160/MIN(E160,128),0)*(C160/F160)*(D160/G160)*((MIN(B160,MIN(E160,128))+F160)*G160*1/1024))</x:f>
        <x:v>3584</x:v>
      </x:c>
      <x:c r="O160" s="2921" t="n">
        <x:f>IF(AND(ISNUMBER(N160),ISNUMBER(K160),K160&gt;0),N160*1024/K160,"")</x:f>
        <x:v>28672</x:v>
      </x:c>
      <x:c r="P160" s="2922" t="n">
        <x:f>IF(OR(E160="",F160="",G160=""),"",((H160+I160)*1024)/(E160*F160*G160/8192))</x:f>
        <x:v>128</x:v>
      </x:c>
      <x:c r="Q160" s="2922" t="n">
        <x:f>IF(OR(E160="",F160="",G160=""),"",(E160*F160*4)/(E160*F160*G160/8192))</x:f>
        <x:v>128</x:v>
      </x:c>
      <x:c r="R160" s="2920" t="n">
        <x:f>IF(AND(ISNUMBER(K160),K160&gt;0,ISNUMBER(P160),P160&gt;0),MIN(1,K160/P160),"")</x:f>
        <x:v>1</x:v>
      </x:c>
      <x:c r="S160" s="2920" t="n">
        <x:f>IF(AND(ISNUMBER(K160),K160&gt;0,ISNUMBER(Q160),Q160&gt;0),MIN(1,K160/Q160),"")</x:f>
        <x:v>1</x:v>
      </x:c>
      <x:c r="T160" s="2920" t="n">
        <x:f>IF(AND(ISNUMBER(R160),ISNUMBER(S160)),MIN(R160,S160),"")</x:f>
        <x:v>1</x:v>
      </x:c>
      <x:c r="U160" s="2922" t="n">
        <x:f>IF(AND(ISNUMBER(M160),ISNUMBER(T160)),(M160-T160)*100,"")</x:f>
        <x:v>-39.2</x:v>
      </x:c>
      <x:c r="V160" s="2979" t="n"/>
      <x:c r="W160" s="2920" t="n"/>
      <x:c r="X160" s="2920" t="n"/>
      <x:c r="Y160" s="2959" t="n"/>
      <x:c r="Z160" s="2920" t="n"/>
      <x:c r="AA160" s="2937" t="n"/>
      <x:c r="AB160" s="2938" t="inlineStr">
        <x:is>
          <x:t xml:space="preserve">PASS</x:t>
        </x:is>
      </x:c>
      <x:c r="AC160" s="2930" t="inlineStr">
        <x:is>
          <x:t xml:space="preserve">matmul_shared_lowp（FP8）；本轮 model-main ae058a98 + 6参数(无SoC带宽/延迟) 2026-09-26</x:t>
        </x:is>
      </x:c>
    </x:row>
    <x:row r="161" ht="20" customHeight="1">
      <x:c r="A161" s="2916" t="inlineStr">
        <x:is>
          <x:t xml:space="preserve">FP8</x:t>
        </x:is>
      </x:c>
      <x:c r="B161" s="2979" t="n">
        <x:v>256</x:v>
      </x:c>
      <x:c r="C161" s="2979" t="n">
        <x:v>128</x:v>
      </x:c>
      <x:c r="D161" s="2979" t="n">
        <x:v>7168</x:v>
      </x:c>
      <x:c r="E161" s="2979" t="n">
        <x:v>128</x:v>
      </x:c>
      <x:c r="F161" s="2979" t="n">
        <x:v>128</x:v>
      </x:c>
      <x:c r="G161" s="2979" t="n">
        <x:v>512</x:v>
      </x:c>
      <x:c r="H161" s="2980" t="n">
        <x:v>64</x:v>
      </x:c>
      <x:c r="I161" s="2980" t="n">
        <x:v>64</x:v>
      </x:c>
      <x:c r="J161" s="2980" t="n">
        <x:v>128</x:v>
      </x:c>
      <x:c r="K161" s="2981" t="n">
        <x:v>128</x:v>
      </x:c>
      <x:c r="L161" s="2979" t="n">
        <x:v>50693</x:v>
      </x:c>
      <x:c r="M161" s="2920" t="n">
        <x:f>IF(AND(ISNUMBER(L161),L161&gt;0),ROUND(B161*C161*D161/8192/L161*100,1)/100,"")</x:f>
        <x:v>0.5660000000000001</x:v>
      </x:c>
      <x:c r="N161" s="2979" t="n">
        <x:f>IF(OR(B161="",C161="",D161="",E161="",F161="",G161=""),"",ROUNDUP(B161/MIN(E161,128),0)*(C161/F161)*(D161/G161)*((MIN(B161,MIN(E161,128))+F161)*G161*1/1024))</x:f>
        <x:v>3584</x:v>
      </x:c>
      <x:c r="O161" s="2921" t="n">
        <x:f>IF(AND(ISNUMBER(N161),ISNUMBER(K161),K161&gt;0),N161*1024/K161,"")</x:f>
        <x:v>28672</x:v>
      </x:c>
      <x:c r="P161" s="2922" t="n">
        <x:f>IF(OR(E161="",F161="",G161=""),"",((H161+I161)*1024)/(E161*F161*G161/8192))</x:f>
        <x:v>128</x:v>
      </x:c>
      <x:c r="Q161" s="2922" t="n">
        <x:f>IF(OR(E161="",F161="",G161=""),"",(E161*F161*4)/(E161*F161*G161/8192))</x:f>
        <x:v>64</x:v>
      </x:c>
      <x:c r="R161" s="2920" t="n">
        <x:f>IF(AND(ISNUMBER(K161),K161&gt;0,ISNUMBER(P161),P161&gt;0),MIN(1,K161/P161),"")</x:f>
        <x:v>1</x:v>
      </x:c>
      <x:c r="S161" s="2920" t="n">
        <x:f>IF(AND(ISNUMBER(K161),K161&gt;0,ISNUMBER(Q161),Q161&gt;0),MIN(1,K161/Q161),"")</x:f>
        <x:v>1</x:v>
      </x:c>
      <x:c r="T161" s="2920" t="n">
        <x:f>IF(AND(ISNUMBER(R161),ISNUMBER(S161)),MIN(R161,S161),"")</x:f>
        <x:v>1</x:v>
      </x:c>
      <x:c r="U161" s="2922" t="n">
        <x:f>IF(AND(ISNUMBER(M161),ISNUMBER(T161)),(M161-T161)*100,"")</x:f>
        <x:v>-43.39999999999999</x:v>
      </x:c>
      <x:c r="V161" s="2979" t="n"/>
      <x:c r="W161" s="2920" t="n"/>
      <x:c r="X161" s="2920" t="n"/>
      <x:c r="Y161" s="2959" t="n"/>
      <x:c r="Z161" s="2920" t="n"/>
      <x:c r="AA161" s="2937" t="n"/>
      <x:c r="AB161" s="2938" t="inlineStr">
        <x:is>
          <x:t xml:space="preserve">PASS</x:t>
        </x:is>
      </x:c>
      <x:c r="AC161" s="2930" t="inlineStr">
        <x:is>
          <x:t xml:space="preserve">matmul_shared_lowp（FP8）；本轮 model-main ae058a98 + 6参数(无SoC带宽/延迟) 2026-09-26</x:t>
        </x:is>
      </x:c>
    </x:row>
    <x:row r="162" ht="20" customHeight="1">
      <x:c r="A162" s="2916" t="inlineStr">
        <x:is>
          <x:t xml:space="preserve">FP8</x:t>
        </x:is>
      </x:c>
      <x:c r="B162" s="2979" t="n">
        <x:v>256</x:v>
      </x:c>
      <x:c r="C162" s="2979" t="n">
        <x:v>128</x:v>
      </x:c>
      <x:c r="D162" s="2979" t="n">
        <x:v>7168</x:v>
      </x:c>
      <x:c r="E162" s="2979" t="n">
        <x:v>128</x:v>
      </x:c>
      <x:c r="F162" s="2979" t="n">
        <x:v>128</x:v>
      </x:c>
      <x:c r="G162" s="2979" t="n">
        <x:v>1024</x:v>
      </x:c>
      <x:c r="H162" s="2980" t="n">
        <x:v>128</x:v>
      </x:c>
      <x:c r="I162" s="2980" t="n">
        <x:v>128</x:v>
      </x:c>
      <x:c r="J162" s="2980" t="n">
        <x:v>256</x:v>
      </x:c>
      <x:c r="K162" s="2981" t="n">
        <x:v>128</x:v>
      </x:c>
      <x:c r="L162" s="2979" t="n">
        <x:v>94066</x:v>
      </x:c>
      <x:c r="M162" s="2920" t="n">
        <x:f>IF(AND(ISNUMBER(L162),L162&gt;0),ROUND(B162*C162*D162/8192/L162*100,1)/100,"")</x:f>
        <x:v>0.305</x:v>
      </x:c>
      <x:c r="N162" s="2979" t="n">
        <x:f>IF(OR(B162="",C162="",D162="",E162="",F162="",G162=""),"",ROUNDUP(B162/MIN(E162,128),0)*(C162/F162)*(D162/G162)*((MIN(B162,MIN(E162,128))+F162)*G162*1/1024))</x:f>
        <x:v>3584</x:v>
      </x:c>
      <x:c r="O162" s="2921" t="n">
        <x:f>IF(AND(ISNUMBER(N162),ISNUMBER(K162),K162&gt;0),N162*1024/K162,"")</x:f>
        <x:v>28672</x:v>
      </x:c>
      <x:c r="P162" s="2922" t="n">
        <x:f>IF(OR(E162="",F162="",G162=""),"",((H162+I162)*1024)/(E162*F162*G162/8192))</x:f>
        <x:v>128</x:v>
      </x:c>
      <x:c r="Q162" s="2922" t="n">
        <x:f>IF(OR(E162="",F162="",G162=""),"",(E162*F162*4)/(E162*F162*G162/8192))</x:f>
        <x:v>32</x:v>
      </x:c>
      <x:c r="R162" s="2920" t="n">
        <x:f>IF(AND(ISNUMBER(K162),K162&gt;0,ISNUMBER(P162),P162&gt;0),MIN(1,K162/P162),"")</x:f>
        <x:v>1</x:v>
      </x:c>
      <x:c r="S162" s="2920" t="n">
        <x:f>IF(AND(ISNUMBER(K162),K162&gt;0,ISNUMBER(Q162),Q162&gt;0),MIN(1,K162/Q162),"")</x:f>
        <x:v>1</x:v>
      </x:c>
      <x:c r="T162" s="2920" t="n">
        <x:f>IF(AND(ISNUMBER(R162),ISNUMBER(S162)),MIN(R162,S162),"")</x:f>
        <x:v>1</x:v>
      </x:c>
      <x:c r="U162" s="2922" t="n">
        <x:f>IF(AND(ISNUMBER(M162),ISNUMBER(T162)),(M162-T162)*100,"")</x:f>
        <x:v>-69.5</x:v>
      </x:c>
      <x:c r="V162" s="2979" t="n"/>
      <x:c r="W162" s="2920" t="n"/>
      <x:c r="X162" s="2920" t="n"/>
      <x:c r="Y162" s="2959" t="n"/>
      <x:c r="Z162" s="2920" t="n"/>
      <x:c r="AA162" s="2937" t="n"/>
      <x:c r="AB162" s="2938" t="inlineStr">
        <x:is>
          <x:t xml:space="preserve">PASS</x:t>
        </x:is>
      </x:c>
      <x:c r="AC162" s="2930" t="inlineStr">
        <x:is>
          <x:t xml:space="preserve">matmul_shared_lowp（FP8）；本轮 model-main ae058a98 + 6参数(无SoC带宽/延迟) 2026-09-26</x:t>
        </x:is>
      </x:c>
    </x:row>
    <x:row r="163" ht="20" customHeight="1">
      <x:c r="A163" s="2822" t="inlineStr">
        <x:is>
          <x:t xml:space="preserve">MXFP8</x:t>
        </x:is>
      </x:c>
      <x:c r="B163" s="2964" t="n"/>
      <x:c r="C163" s="2964" t="n"/>
      <x:c r="D163" s="2964" t="n"/>
      <x:c r="E163" s="2964" t="n"/>
      <x:c r="F163" s="2964" t="n"/>
      <x:c r="G163" s="2964" t="n"/>
      <x:c r="H163" s="2965" t="n"/>
      <x:c r="I163" s="2965" t="n"/>
      <x:c r="J163" s="2965" t="n"/>
      <x:c r="K163" s="2966"/>
      <x:c r="L163" s="2964" t="n"/>
      <x:c r="M163" s="2826" t="str"/>
      <x:c r="N163" s="2964" t="str"/>
      <x:c r="O163" s="2827" t="str"/>
      <x:c r="P163" s="2828" t="str"/>
      <x:c r="Q163" s="2828" t="str"/>
      <x:c r="R163" s="2826" t="str"/>
      <x:c r="S163" s="2826" t="str"/>
      <x:c r="T163" s="2826" t="str"/>
      <x:c r="U163" s="2828" t="str"/>
      <x:c r="V163" s="2964" t="n"/>
      <x:c r="W163" s="2826" t="n"/>
      <x:c r="X163" s="2826" t="n"/>
      <x:c r="Y163" s="2954" t="n"/>
      <x:c r="Z163" s="2826" t="n"/>
      <x:c r="AA163" s="2822" t="n"/>
      <x:c r="AB163" s="2822" t="n"/>
      <x:c r="AC163" s="2822" t="n"/>
    </x:row>
    <x:row r="164" ht="20" customHeight="1">
      <x:c r="A164" s="2841" t="inlineStr">
        <x:is>
          <x:t xml:space="preserve">MXFP8</x:t>
        </x:is>
      </x:c>
      <x:c r="B164" s="2967" t="n">
        <x:v>256</x:v>
      </x:c>
      <x:c r="C164" s="2967" t="n">
        <x:v>128</x:v>
      </x:c>
      <x:c r="D164" s="2967" t="n">
        <x:v>7168</x:v>
      </x:c>
      <x:c r="E164" s="2967" t="n">
        <x:v>128</x:v>
      </x:c>
      <x:c r="F164" s="2967" t="n">
        <x:v>64</x:v>
      </x:c>
      <x:c r="G164" s="2967" t="n">
        <x:v>256</x:v>
      </x:c>
      <x:c r="H164" s="2968" t="n">
        <x:v>36</x:v>
      </x:c>
      <x:c r="I164" s="2968" t="n">
        <x:v>18</x:v>
      </x:c>
      <x:c r="J164" s="2968" t="n">
        <x:v>54</x:v>
      </x:c>
      <x:c r="K164" s="2969" t="n">
        <x:v>128</x:v>
      </x:c>
      <x:c r="L164" s="2967" t="n">
        <x:v>82301</x:v>
      </x:c>
      <x:c r="M164" s="2845" t="n">
        <x:f>IF(AND(ISNUMBER(L164),L164&gt;0),ROUND(B164*C164*D164/8192/L164*100,1)/100,"")</x:f>
        <x:v>0.348</x:v>
      </x:c>
      <x:c r="N164" s="2967" t="n">
        <x:f>IF(OR(B164="",C164="",D164="",E164="",F164="",G164=""),"",ROUNDUP(B164/MIN(E164,128),0)*(C164/F164)*(D164/G164)*((MIN(B164,MIN(E164,128))+F164)*G164*(33/32)/1024))</x:f>
        <x:v>5544</x:v>
      </x:c>
      <x:c r="O164" s="2846" t="n">
        <x:f>IF(AND(ISNUMBER(N164),ISNUMBER(K164),K164&gt;0),N164*1024/K164,"")</x:f>
        <x:v>44352</x:v>
      </x:c>
      <x:c r="P164" s="2847" t="n">
        <x:f>IF(OR(E164="",F164="",G164=""),"",((H164+I164)*1024)/(E164*F164*G164/8192))</x:f>
        <x:v>216</x:v>
      </x:c>
      <x:c r="Q164" s="2847" t="n">
        <x:f>IF(OR(E164="",F164="",G164=""),"",(E164*F164*4)/(E164*F164*G164/8192))</x:f>
        <x:v>128</x:v>
      </x:c>
      <x:c r="R164" s="2845" t="n">
        <x:f>IF(AND(ISNUMBER(K164),K164&gt;0,ISNUMBER(P164),P164&gt;0),MIN(1,K164/P164),"")</x:f>
        <x:v>0.5925925925925926</x:v>
      </x:c>
      <x:c r="S164" s="2845" t="n">
        <x:f>IF(AND(ISNUMBER(K164),K164&gt;0,ISNUMBER(Q164),Q164&gt;0),MIN(1,K164/Q164),"")</x:f>
        <x:v>1</x:v>
      </x:c>
      <x:c r="T164" s="2845" t="n">
        <x:f>IF(AND(ISNUMBER(R164),ISNUMBER(S164)),MIN(R164,S164),"")</x:f>
        <x:v>0.5925925925925926</x:v>
      </x:c>
      <x:c r="U164" s="2847" t="n">
        <x:f>IF(AND(ISNUMBER(M164),ISNUMBER(T164)),(M164-T164)*100,"")</x:f>
        <x:v>-24.45925925925926</x:v>
      </x:c>
      <x:c r="V164" s="2967" t="n"/>
      <x:c r="W164" s="2845" t="n"/>
      <x:c r="X164" s="2845" t="n"/>
      <x:c r="Y164" s="2955" t="n"/>
      <x:c r="Z164" s="2845" t="n"/>
      <x:c r="AA164" s="2940" t="n"/>
      <x:c r="AB164" s="2931" t="inlineStr">
        <x:is>
          <x:t xml:space="preserve">PASS</x:t>
        </x:is>
      </x:c>
      <x:c r="AC164" s="2855" t="inlineStr">
        <x:is>
          <x:t xml:space="preserve">matmul_shared_lowp（MXFP8）；本轮 model-main ae058a98 + 6参数(无SoC带宽/延迟) 2026-09-26</x:t>
        </x:is>
      </x:c>
    </x:row>
    <x:row r="165" ht="20" customHeight="1">
      <x:c r="A165" s="2841" t="inlineStr">
        <x:is>
          <x:t xml:space="preserve">MXFP8</x:t>
        </x:is>
      </x:c>
      <x:c r="B165" s="2967" t="n">
        <x:v>256</x:v>
      </x:c>
      <x:c r="C165" s="2967" t="n">
        <x:v>128</x:v>
      </x:c>
      <x:c r="D165" s="2967" t="n">
        <x:v>7168</x:v>
      </x:c>
      <x:c r="E165" s="2967" t="n">
        <x:v>128</x:v>
      </x:c>
      <x:c r="F165" s="2967" t="n">
        <x:v>64</x:v>
      </x:c>
      <x:c r="G165" s="2967" t="n">
        <x:v>512</x:v>
      </x:c>
      <x:c r="H165" s="2968" t="n">
        <x:v>68</x:v>
      </x:c>
      <x:c r="I165" s="2968" t="n">
        <x:v>34</x:v>
      </x:c>
      <x:c r="J165" s="2968" t="n">
        <x:v>102</x:v>
      </x:c>
      <x:c r="K165" s="2969" t="n">
        <x:v>128</x:v>
      </x:c>
      <x:c r="L165" s="2967" t="n">
        <x:v>81409</x:v>
      </x:c>
      <x:c r="M165" s="2845" t="n">
        <x:f>IF(AND(ISNUMBER(L165),L165&gt;0),ROUND(B165*C165*D165/8192/L165*100,1)/100,"")</x:f>
        <x:v>0.35200000000000004</x:v>
      </x:c>
      <x:c r="N165" s="2967" t="n">
        <x:f>IF(OR(B165="",C165="",D165="",E165="",F165="",G165=""),"",ROUNDUP(B165/MIN(E165,128),0)*(C165/F165)*(D165/G165)*((MIN(B165,MIN(E165,128))+F165)*G165*(33/32)/1024))</x:f>
        <x:v>5544</x:v>
      </x:c>
      <x:c r="O165" s="2846" t="n">
        <x:f>IF(AND(ISNUMBER(N165),ISNUMBER(K165),K165&gt;0),N165*1024/K165,"")</x:f>
        <x:v>44352</x:v>
      </x:c>
      <x:c r="P165" s="2847" t="n">
        <x:f>IF(OR(E165="",F165="",G165=""),"",((H165+I165)*1024)/(E165*F165*G165/8192))</x:f>
        <x:v>204</x:v>
      </x:c>
      <x:c r="Q165" s="2847" t="n">
        <x:f>IF(OR(E165="",F165="",G165=""),"",(E165*F165*4)/(E165*F165*G165/8192))</x:f>
        <x:v>64</x:v>
      </x:c>
      <x:c r="R165" s="2845" t="n">
        <x:f>IF(AND(ISNUMBER(K165),K165&gt;0,ISNUMBER(P165),P165&gt;0),MIN(1,K165/P165),"")</x:f>
        <x:v>0.6274509803921569</x:v>
      </x:c>
      <x:c r="S165" s="2845" t="n">
        <x:f>IF(AND(ISNUMBER(K165),K165&gt;0,ISNUMBER(Q165),Q165&gt;0),MIN(1,K165/Q165),"")</x:f>
        <x:v>1</x:v>
      </x:c>
      <x:c r="T165" s="2845" t="n">
        <x:f>IF(AND(ISNUMBER(R165),ISNUMBER(S165)),MIN(R165,S165),"")</x:f>
        <x:v>0.6274509803921569</x:v>
      </x:c>
      <x:c r="U165" s="2847" t="n">
        <x:f>IF(AND(ISNUMBER(M165),ISNUMBER(T165)),(M165-T165)*100,"")</x:f>
        <x:v>-27.54509803921568</x:v>
      </x:c>
      <x:c r="V165" s="2967" t="n"/>
      <x:c r="W165" s="2845" t="n"/>
      <x:c r="X165" s="2845" t="n"/>
      <x:c r="Y165" s="2955" t="n"/>
      <x:c r="Z165" s="2845" t="n"/>
      <x:c r="AA165" s="2940" t="n"/>
      <x:c r="AB165" s="2931" t="inlineStr">
        <x:is>
          <x:t xml:space="preserve">PASS</x:t>
        </x:is>
      </x:c>
      <x:c r="AC165" s="2855" t="inlineStr">
        <x:is>
          <x:t xml:space="preserve">matmul_shared_lowp（MXFP8）；本轮 model-main ae058a98 + 6参数(无SoC带宽/延迟) 2026-09-26</x:t>
        </x:is>
      </x:c>
    </x:row>
    <x:row r="166" ht="20" customHeight="1">
      <x:c r="A166" s="2841" t="inlineStr">
        <x:is>
          <x:t xml:space="preserve">MXFP8</x:t>
        </x:is>
      </x:c>
      <x:c r="B166" s="2967" t="n">
        <x:v>256</x:v>
      </x:c>
      <x:c r="C166" s="2967" t="n">
        <x:v>128</x:v>
      </x:c>
      <x:c r="D166" s="2967" t="n">
        <x:v>7168</x:v>
      </x:c>
      <x:c r="E166" s="2967" t="n">
        <x:v>128</x:v>
      </x:c>
      <x:c r="F166" s="2967" t="n">
        <x:v>64</x:v>
      </x:c>
      <x:c r="G166" s="2967" t="n">
        <x:v>1024</x:v>
      </x:c>
      <x:c r="H166" s="2968" t="n">
        <x:v>132</x:v>
      </x:c>
      <x:c r="I166" s="2968" t="n">
        <x:v>66</x:v>
      </x:c>
      <x:c r="J166" s="2968" t="n">
        <x:v>198</x:v>
      </x:c>
      <x:c r="K166" s="2969" t="n">
        <x:v>128</x:v>
      </x:c>
      <x:c r="L166" s="2967" t="n">
        <x:v>151982</x:v>
      </x:c>
      <x:c r="M166" s="2845" t="n">
        <x:f>IF(AND(ISNUMBER(L166),L166&gt;0),ROUND(B166*C166*D166/8192/L166*100,1)/100,"")</x:f>
        <x:v>0.18899999999999997</x:v>
      </x:c>
      <x:c r="N166" s="2967" t="n">
        <x:f>IF(OR(B166="",C166="",D166="",E166="",F166="",G166=""),"",ROUNDUP(B166/MIN(E166,128),0)*(C166/F166)*(D166/G166)*((MIN(B166,MIN(E166,128))+F166)*G166*(33/32)/1024))</x:f>
        <x:v>5544</x:v>
      </x:c>
      <x:c r="O166" s="2846" t="n">
        <x:f>IF(AND(ISNUMBER(N166),ISNUMBER(K166),K166&gt;0),N166*1024/K166,"")</x:f>
        <x:v>44352</x:v>
      </x:c>
      <x:c r="P166" s="2847" t="n">
        <x:f>IF(OR(E166="",F166="",G166=""),"",((H166+I166)*1024)/(E166*F166*G166/8192))</x:f>
        <x:v>198</x:v>
      </x:c>
      <x:c r="Q166" s="2847" t="n">
        <x:f>IF(OR(E166="",F166="",G166=""),"",(E166*F166*4)/(E166*F166*G166/8192))</x:f>
        <x:v>32</x:v>
      </x:c>
      <x:c r="R166" s="2845" t="n">
        <x:f>IF(AND(ISNUMBER(K166),K166&gt;0,ISNUMBER(P166),P166&gt;0),MIN(1,K166/P166),"")</x:f>
        <x:v>0.6464646464646465</x:v>
      </x:c>
      <x:c r="S166" s="2845" t="n">
        <x:f>IF(AND(ISNUMBER(K166),K166&gt;0,ISNUMBER(Q166),Q166&gt;0),MIN(1,K166/Q166),"")</x:f>
        <x:v>1</x:v>
      </x:c>
      <x:c r="T166" s="2845" t="n">
        <x:f>IF(AND(ISNUMBER(R166),ISNUMBER(S166)),MIN(R166,S166),"")</x:f>
        <x:v>0.6464646464646465</x:v>
      </x:c>
      <x:c r="U166" s="2847" t="n">
        <x:f>IF(AND(ISNUMBER(M166),ISNUMBER(T166)),(M166-T166)*100,"")</x:f>
        <x:v>-45.74646464646466</x:v>
      </x:c>
      <x:c r="V166" s="2967" t="n"/>
      <x:c r="W166" s="2845" t="n"/>
      <x:c r="X166" s="2845" t="n"/>
      <x:c r="Y166" s="2955" t="n"/>
      <x:c r="Z166" s="2845" t="n"/>
      <x:c r="AA166" s="2940" t="n"/>
      <x:c r="AB166" s="2931" t="inlineStr">
        <x:is>
          <x:t xml:space="preserve">PASS</x:t>
        </x:is>
      </x:c>
      <x:c r="AC166" s="2855" t="inlineStr">
        <x:is>
          <x:t xml:space="preserve">matmul_shared_lowp（MXFP8）；本轮 model-main ae058a98 + 6参数(无SoC带宽/延迟) 2026-09-26</x:t>
        </x:is>
      </x:c>
    </x:row>
    <x:row r="167" ht="20" customHeight="1">
      <x:c r="A167" s="2841" t="inlineStr">
        <x:is>
          <x:t xml:space="preserve">MXFP8</x:t>
        </x:is>
      </x:c>
      <x:c r="B167" s="2967" t="n">
        <x:v>256</x:v>
      </x:c>
      <x:c r="C167" s="2967" t="n">
        <x:v>128</x:v>
      </x:c>
      <x:c r="D167" s="2967" t="n">
        <x:v>7168</x:v>
      </x:c>
      <x:c r="E167" s="2967" t="n">
        <x:v>128</x:v>
      </x:c>
      <x:c r="F167" s="2967" t="n">
        <x:v>128</x:v>
      </x:c>
      <x:c r="G167" s="2967" t="n">
        <x:v>256</x:v>
      </x:c>
      <x:c r="H167" s="2968" t="n">
        <x:v>36</x:v>
      </x:c>
      <x:c r="I167" s="2968" t="n">
        <x:v>36</x:v>
      </x:c>
      <x:c r="J167" s="2968" t="n">
        <x:v>72</x:v>
      </x:c>
      <x:c r="K167" s="2969" t="n">
        <x:v>128</x:v>
      </x:c>
      <x:c r="L167" s="2967" t="n">
        <x:v>57642</x:v>
      </x:c>
      <x:c r="M167" s="2845" t="n">
        <x:f>IF(AND(ISNUMBER(L167),L167&gt;0),ROUND(B167*C167*D167/8192/L167*100,1)/100,"")</x:f>
        <x:v>0.49700000000000005</x:v>
      </x:c>
      <x:c r="N167" s="2967" t="n">
        <x:f>IF(OR(B167="",C167="",D167="",E167="",F167="",G167=""),"",ROUNDUP(B167/MIN(E167,128),0)*(C167/F167)*(D167/G167)*((MIN(B167,MIN(E167,128))+F167)*G167*(33/32)/1024))</x:f>
        <x:v>3696</x:v>
      </x:c>
      <x:c r="O167" s="2846" t="n">
        <x:f>IF(AND(ISNUMBER(N167),ISNUMBER(K167),K167&gt;0),N167*1024/K167,"")</x:f>
        <x:v>29568</x:v>
      </x:c>
      <x:c r="P167" s="2847" t="n">
        <x:f>IF(OR(E167="",F167="",G167=""),"",((H167+I167)*1024)/(E167*F167*G167/8192))</x:f>
        <x:v>144</x:v>
      </x:c>
      <x:c r="Q167" s="2847" t="n">
        <x:f>IF(OR(E167="",F167="",G167=""),"",(E167*F167*4)/(E167*F167*G167/8192))</x:f>
        <x:v>128</x:v>
      </x:c>
      <x:c r="R167" s="2845" t="n">
        <x:f>IF(AND(ISNUMBER(K167),K167&gt;0,ISNUMBER(P167),P167&gt;0),MIN(1,K167/P167),"")</x:f>
        <x:v>0.8888888888888888</x:v>
      </x:c>
      <x:c r="S167" s="2845" t="n">
        <x:f>IF(AND(ISNUMBER(K167),K167&gt;0,ISNUMBER(Q167),Q167&gt;0),MIN(1,K167/Q167),"")</x:f>
        <x:v>1</x:v>
      </x:c>
      <x:c r="T167" s="2845" t="n">
        <x:f>IF(AND(ISNUMBER(R167),ISNUMBER(S167)),MIN(R167,S167),"")</x:f>
        <x:v>0.8888888888888888</x:v>
      </x:c>
      <x:c r="U167" s="2847" t="n">
        <x:f>IF(AND(ISNUMBER(M167),ISNUMBER(T167)),(M167-T167)*100,"")</x:f>
        <x:v>-39.188888888888876</x:v>
      </x:c>
      <x:c r="V167" s="2967" t="n"/>
      <x:c r="W167" s="2845" t="n"/>
      <x:c r="X167" s="2845" t="n"/>
      <x:c r="Y167" s="2955" t="n"/>
      <x:c r="Z167" s="2845" t="n"/>
      <x:c r="AA167" s="2940" t="n"/>
      <x:c r="AB167" s="2931" t="inlineStr">
        <x:is>
          <x:t xml:space="preserve">PASS</x:t>
        </x:is>
      </x:c>
      <x:c r="AC167" s="2855" t="inlineStr">
        <x:is>
          <x:t xml:space="preserve">matmul_shared_lowp（MXFP8）；本轮 model-main ae058a98 + 6参数(无SoC带宽/延迟) 2026-09-26</x:t>
        </x:is>
      </x:c>
    </x:row>
    <x:row r="168" ht="20" customHeight="1">
      <x:c r="A168" s="2841" t="inlineStr">
        <x:is>
          <x:t xml:space="preserve">MXFP8</x:t>
        </x:is>
      </x:c>
      <x:c r="B168" s="2967" t="n">
        <x:v>256</x:v>
      </x:c>
      <x:c r="C168" s="2967" t="n">
        <x:v>128</x:v>
      </x:c>
      <x:c r="D168" s="2967" t="n">
        <x:v>7168</x:v>
      </x:c>
      <x:c r="E168" s="2967" t="n">
        <x:v>128</x:v>
      </x:c>
      <x:c r="F168" s="2967" t="n">
        <x:v>128</x:v>
      </x:c>
      <x:c r="G168" s="2967" t="n">
        <x:v>512</x:v>
      </x:c>
      <x:c r="H168" s="2968" t="n">
        <x:v>68</x:v>
      </x:c>
      <x:c r="I168" s="2968" t="n">
        <x:v>68</x:v>
      </x:c>
      <x:c r="J168" s="2968" t="n">
        <x:v>136</x:v>
      </x:c>
      <x:c r="K168" s="2969" t="n">
        <x:v>128</x:v>
      </x:c>
      <x:c r="L168" s="2967" t="n">
        <x:v>83623</x:v>
      </x:c>
      <x:c r="M168" s="2845" t="n">
        <x:f>IF(AND(ISNUMBER(L168),L168&gt;0),ROUND(B168*C168*D168/8192/L168*100,1)/100,"")</x:f>
        <x:v>0.34299999999999997</x:v>
      </x:c>
      <x:c r="N168" s="2967" t="n">
        <x:f>IF(OR(B168="",C168="",D168="",E168="",F168="",G168=""),"",ROUNDUP(B168/MIN(E168,128),0)*(C168/F168)*(D168/G168)*((MIN(B168,MIN(E168,128))+F168)*G168*(33/32)/1024))</x:f>
        <x:v>3696</x:v>
      </x:c>
      <x:c r="O168" s="2846" t="n">
        <x:f>IF(AND(ISNUMBER(N168),ISNUMBER(K168),K168&gt;0),N168*1024/K168,"")</x:f>
        <x:v>29568</x:v>
      </x:c>
      <x:c r="P168" s="2847" t="n">
        <x:f>IF(OR(E168="",F168="",G168=""),"",((H168+I168)*1024)/(E168*F168*G168/8192))</x:f>
        <x:v>136</x:v>
      </x:c>
      <x:c r="Q168" s="2847" t="n">
        <x:f>IF(OR(E168="",F168="",G168=""),"",(E168*F168*4)/(E168*F168*G168/8192))</x:f>
        <x:v>64</x:v>
      </x:c>
      <x:c r="R168" s="2845" t="n">
        <x:f>IF(AND(ISNUMBER(K168),K168&gt;0,ISNUMBER(P168),P168&gt;0),MIN(1,K168/P168),"")</x:f>
        <x:v>0.9411764705882353</x:v>
      </x:c>
      <x:c r="S168" s="2845" t="n">
        <x:f>IF(AND(ISNUMBER(K168),K168&gt;0,ISNUMBER(Q168),Q168&gt;0),MIN(1,K168/Q168),"")</x:f>
        <x:v>1</x:v>
      </x:c>
      <x:c r="T168" s="2845" t="n">
        <x:f>IF(AND(ISNUMBER(R168),ISNUMBER(S168)),MIN(R168,S168),"")</x:f>
        <x:v>0.9411764705882353</x:v>
      </x:c>
      <x:c r="U168" s="2847" t="n">
        <x:f>IF(AND(ISNUMBER(M168),ISNUMBER(T168)),(M168-T168)*100,"")</x:f>
        <x:v>-59.81764705882353</x:v>
      </x:c>
      <x:c r="V168" s="2967" t="n"/>
      <x:c r="W168" s="2845" t="n"/>
      <x:c r="X168" s="2845" t="n"/>
      <x:c r="Y168" s="2955" t="n"/>
      <x:c r="Z168" s="2845" t="n"/>
      <x:c r="AA168" s="2940" t="n"/>
      <x:c r="AB168" s="2931" t="inlineStr">
        <x:is>
          <x:t xml:space="preserve">PASS</x:t>
        </x:is>
      </x:c>
      <x:c r="AC168" s="2855" t="inlineStr">
        <x:is>
          <x:t xml:space="preserve">matmul_shared_lowp（MXFP8）；本轮 model-main ae058a98 + 6参数(无SoC带宽/延迟) 2026-09-26</x:t>
        </x:is>
      </x:c>
    </x:row>
    <x:row r="169" ht="20" customHeight="1">
      <x:c r="A169" s="2841" t="inlineStr">
        <x:is>
          <x:t xml:space="preserve">MXFP8</x:t>
        </x:is>
      </x:c>
      <x:c r="B169" s="2967" t="n">
        <x:v>256</x:v>
      </x:c>
      <x:c r="C169" s="2967" t="n">
        <x:v>128</x:v>
      </x:c>
      <x:c r="D169" s="2967" t="n">
        <x:v>7168</x:v>
      </x:c>
      <x:c r="E169" s="2967" t="n">
        <x:v>128</x:v>
      </x:c>
      <x:c r="F169" s="2967" t="n">
        <x:v>128</x:v>
      </x:c>
      <x:c r="G169" s="2967" t="n">
        <x:v>1024</x:v>
      </x:c>
      <x:c r="H169" s="2968" t="n">
        <x:v>132</x:v>
      </x:c>
      <x:c r="I169" s="2968" t="n">
        <x:v>132</x:v>
      </x:c>
      <x:c r="J169" s="2968" t="n">
        <x:v>264</x:v>
      </x:c>
      <x:c r="K169" s="2969" t="n">
        <x:v>128</x:v>
      </x:c>
      <x:c r="L169" s="2967" t="inlineStr">
        <x:is>
          <x:t xml:space="preserve">—</x:t>
        </x:is>
      </x:c>
      <x:c r="M169" s="2845" t="str">
        <x:f>IF(AND(ISNUMBER(L169),L169&gt;0),ROUND(B169*C169*D169/8192/L169*100,1)/100,"")</x:f>
      </x:c>
      <x:c r="N169" s="2967" t="n">
        <x:f>IF(OR(B169="",C169="",D169="",E169="",F169="",G169=""),"",ROUNDUP(B169/MIN(E169,128),0)*(C169/F169)*(D169/G169)*((MIN(B169,MIN(E169,128))+F169)*G169*(33/32)/1024))</x:f>
        <x:v>3696</x:v>
      </x:c>
      <x:c r="O169" s="2846" t="n">
        <x:f>IF(AND(ISNUMBER(N169),ISNUMBER(K169),K169&gt;0),N169*1024/K169,"")</x:f>
        <x:v>29568</x:v>
      </x:c>
      <x:c r="P169" s="2847" t="n">
        <x:f>IF(OR(E169="",F169="",G169=""),"",((H169+I169)*1024)/(E169*F169*G169/8192))</x:f>
        <x:v>132</x:v>
      </x:c>
      <x:c r="Q169" s="2847" t="n">
        <x:f>IF(OR(E169="",F169="",G169=""),"",(E169*F169*4)/(E169*F169*G169/8192))</x:f>
        <x:v>32</x:v>
      </x:c>
      <x:c r="R169" s="2845" t="n">
        <x:f>IF(AND(ISNUMBER(K169),K169&gt;0,ISNUMBER(P169),P169&gt;0),MIN(1,K169/P169),"")</x:f>
        <x:v>0.9696969696969697</x:v>
      </x:c>
      <x:c r="S169" s="2845" t="n">
        <x:f>IF(AND(ISNUMBER(K169),K169&gt;0,ISNUMBER(Q169),Q169&gt;0),MIN(1,K169/Q169),"")</x:f>
        <x:v>1</x:v>
      </x:c>
      <x:c r="T169" s="2845" t="n">
        <x:f>IF(AND(ISNUMBER(R169),ISNUMBER(S169)),MIN(R169,S169),"")</x:f>
        <x:v>0.9696969696969697</x:v>
      </x:c>
      <x:c r="U169" s="2847" t="str">
        <x:f>IF(AND(ISNUMBER(M169),ISNUMBER(T169)),(M169-T169)*100,"")</x:f>
      </x:c>
      <x:c r="V169" s="2967" t="n"/>
      <x:c r="W169" s="2845" t="n"/>
      <x:c r="X169" s="2845" t="n"/>
      <x:c r="Y169" s="2955" t="n"/>
      <x:c r="Z169" s="2845" t="n"/>
      <x:c r="AA169" s="2940" t="n"/>
      <x:c r="AB169" s="2932" t="inlineStr">
        <x:is>
          <x:t xml:space="preserve">COMPILE_FAIL</x:t>
        </x:is>
      </x:c>
      <x:c r="AC169" s="2855" t="inlineStr">
        <x:is>
          <x:t xml:space="preserve">容量超限：完整 SharedTile 足迹 &gt; 256 KiB；本轮 model-main 9b3a4405 + 8参数(256KB ShareTReg) 2026-09-22</x:t>
        </x:is>
      </x:c>
    </x:row>
    <x:row r="170" ht="20" customHeight="1">
      <x:c r="A170" s="2822" t="inlineStr">
        <x:is>
          <x:t xml:space="preserve">MXFP4</x:t>
        </x:is>
      </x:c>
      <x:c r="B170" s="2964" t="n"/>
      <x:c r="C170" s="2964" t="n"/>
      <x:c r="D170" s="2964" t="n"/>
      <x:c r="E170" s="2964" t="n"/>
      <x:c r="F170" s="2964" t="n"/>
      <x:c r="G170" s="2964" t="n"/>
      <x:c r="H170" s="2965" t="n"/>
      <x:c r="I170" s="2965" t="n"/>
      <x:c r="J170" s="2965" t="n"/>
      <x:c r="K170" s="2966"/>
      <x:c r="L170" s="2964" t="n"/>
      <x:c r="M170" s="2826" t="str"/>
      <x:c r="N170" s="2964" t="str"/>
      <x:c r="O170" s="2827" t="str"/>
      <x:c r="P170" s="2828" t="str"/>
      <x:c r="Q170" s="2828" t="str"/>
      <x:c r="R170" s="2826" t="str"/>
      <x:c r="S170" s="2826" t="str"/>
      <x:c r="T170" s="2826" t="str"/>
      <x:c r="U170" s="2828" t="str"/>
      <x:c r="V170" s="2964" t="n"/>
      <x:c r="W170" s="2826" t="n"/>
      <x:c r="X170" s="2826" t="n"/>
      <x:c r="Y170" s="2954" t="n"/>
      <x:c r="Z170" s="2826" t="n"/>
      <x:c r="AA170" s="2822" t="n"/>
      <x:c r="AB170" s="2822" t="n"/>
      <x:c r="AC170" s="2822" t="n"/>
    </x:row>
    <x:row r="171" ht="20" customHeight="1">
      <x:c r="A171" s="2866" t="inlineStr">
        <x:is>
          <x:t xml:space="preserve">MXFP4</x:t>
        </x:is>
      </x:c>
      <x:c r="B171" s="2973" t="n">
        <x:v>256</x:v>
      </x:c>
      <x:c r="C171" s="2973" t="n">
        <x:v>128</x:v>
      </x:c>
      <x:c r="D171" s="2973" t="n">
        <x:v>7168</x:v>
      </x:c>
      <x:c r="E171" s="2973" t="n">
        <x:v>128</x:v>
      </x:c>
      <x:c r="F171" s="2973" t="n">
        <x:v>64</x:v>
      </x:c>
      <x:c r="G171" s="2973" t="n">
        <x:v>256</x:v>
      </x:c>
      <x:c r="H171" s="2974" t="n">
        <x:v>36</x:v>
      </x:c>
      <x:c r="I171" s="2974" t="n">
        <x:v>18</x:v>
      </x:c>
      <x:c r="J171" s="2974" t="n">
        <x:v>54</x:v>
      </x:c>
      <x:c r="K171" s="2975" t="n">
        <x:v>128</x:v>
      </x:c>
      <x:c r="L171" s="2973" t="n">
        <x:v>89079</x:v>
      </x:c>
      <x:c r="M171" s="2870" t="n">
        <x:f>IF(AND(ISNUMBER(L171),L171&gt;0),ROUND(B171*C171*D171/16384/L171*100,1)/100,"")</x:f>
        <x:v>0.161</x:v>
      </x:c>
      <x:c r="N171" s="2973" t="n">
        <x:f>IF(OR(B171="",C171="",D171="",E171="",F171="",G171=""),"",ROUNDUP(B171/MIN(E171,128),0)*(C171/F171)*(D171/G171)*((MIN(B171,MIN(E171,128))+F171)*G171*(17/32)/1024))</x:f>
        <x:v>2856</x:v>
      </x:c>
      <x:c r="O171" s="2871" t="n">
        <x:f>IF(AND(ISNUMBER(N171),ISNUMBER(K171),K171&gt;0),N171*1024/K171,"")</x:f>
        <x:v>22848</x:v>
      </x:c>
      <x:c r="P171" s="2872" t="n">
        <x:f>IF(OR(E171="",F171="",G171=""),"",((H171+I171)*1024)/(E171*F171*G171/16384))</x:f>
        <x:v>432</x:v>
      </x:c>
      <x:c r="Q171" s="2872" t="n">
        <x:f>IF(OR(E171="",F171="",G171=""),"",(E171*F171*4)/(E171*F171*G171/16384))</x:f>
        <x:v>256</x:v>
      </x:c>
      <x:c r="R171" s="2870" t="n">
        <x:f>IF(AND(ISNUMBER(K171),K171&gt;0,ISNUMBER(P171),P171&gt;0),MIN(1,K171/P171),"")</x:f>
        <x:v>0.2962962962962963</x:v>
      </x:c>
      <x:c r="S171" s="2870" t="n">
        <x:f>IF(AND(ISNUMBER(K171),K171&gt;0,ISNUMBER(Q171),Q171&gt;0),MIN(1,K171/Q171),"")</x:f>
        <x:v>0.5</x:v>
      </x:c>
      <x:c r="T171" s="2870" t="n">
        <x:f>IF(AND(ISNUMBER(R171),ISNUMBER(S171)),MIN(R171,S171),"")</x:f>
        <x:v>0.2962962962962963</x:v>
      </x:c>
      <x:c r="U171" s="2872" t="n">
        <x:f>IF(AND(ISNUMBER(M171),ISNUMBER(T171)),(M171-T171)*100,"")</x:f>
        <x:v>-13.529629629629628</x:v>
      </x:c>
      <x:c r="V171" s="2973" t="n"/>
      <x:c r="W171" s="2870" t="n"/>
      <x:c r="X171" s="2870" t="n"/>
      <x:c r="Y171" s="2957" t="n"/>
      <x:c r="Z171" s="2870" t="n"/>
      <x:c r="AA171" s="2941" t="n"/>
      <x:c r="AB171" s="2933" t="inlineStr">
        <x:is>
          <x:t xml:space="preserve">PASS</x:t>
        </x:is>
      </x:c>
      <x:c r="AC171" s="2880" t="inlineStr">
        <x:is>
          <x:t xml:space="preserve">matmul_shared_lowp（MXFP4）；本轮 model-main ae058a98 + 6参数(无SoC带宽/延迟) 2026-09-26</x:t>
        </x:is>
      </x:c>
    </x:row>
    <x:row r="172" ht="20" customHeight="1">
      <x:c r="A172" s="2866" t="inlineStr">
        <x:is>
          <x:t xml:space="preserve">MXFP4</x:t>
        </x:is>
      </x:c>
      <x:c r="B172" s="2973" t="n">
        <x:v>256</x:v>
      </x:c>
      <x:c r="C172" s="2973" t="n">
        <x:v>128</x:v>
      </x:c>
      <x:c r="D172" s="2973" t="n">
        <x:v>7168</x:v>
      </x:c>
      <x:c r="E172" s="2973" t="n">
        <x:v>128</x:v>
      </x:c>
      <x:c r="F172" s="2973" t="n">
        <x:v>64</x:v>
      </x:c>
      <x:c r="G172" s="2973" t="n">
        <x:v>512</x:v>
      </x:c>
      <x:c r="H172" s="2974" t="n">
        <x:v>68</x:v>
      </x:c>
      <x:c r="I172" s="2974" t="n">
        <x:v>34</x:v>
      </x:c>
      <x:c r="J172" s="2974" t="n">
        <x:v>102</x:v>
      </x:c>
      <x:c r="K172" s="2975" t="n">
        <x:v>128</x:v>
      </x:c>
      <x:c r="L172" s="2973" t="n">
        <x:v>85610</x:v>
      </x:c>
      <x:c r="M172" s="2870" t="n">
        <x:f>IF(AND(ISNUMBER(L172),L172&gt;0),ROUND(B172*C172*D172/16384/L172*100,1)/100,"")</x:f>
        <x:v>0.16699999999999998</x:v>
      </x:c>
      <x:c r="N172" s="2973" t="n">
        <x:f>IF(OR(B172="",C172="",D172="",E172="",F172="",G172=""),"",ROUNDUP(B172/MIN(E172,128),0)*(C172/F172)*(D172/G172)*((MIN(B172,MIN(E172,128))+F172)*G172*(17/32)/1024))</x:f>
        <x:v>2856</x:v>
      </x:c>
      <x:c r="O172" s="2871" t="n">
        <x:f>IF(AND(ISNUMBER(N172),ISNUMBER(K172),K172&gt;0),N172*1024/K172,"")</x:f>
        <x:v>22848</x:v>
      </x:c>
      <x:c r="P172" s="2872" t="n">
        <x:f>IF(OR(E172="",F172="",G172=""),"",((H172+I172)*1024)/(E172*F172*G172/16384))</x:f>
        <x:v>408</x:v>
      </x:c>
      <x:c r="Q172" s="2872" t="n">
        <x:f>IF(OR(E172="",F172="",G172=""),"",(E172*F172*4)/(E172*F172*G172/16384))</x:f>
        <x:v>128</x:v>
      </x:c>
      <x:c r="R172" s="2870" t="n">
        <x:f>IF(AND(ISNUMBER(K172),K172&gt;0,ISNUMBER(P172),P172&gt;0),MIN(1,K172/P172),"")</x:f>
        <x:v>0.3137254901960784</x:v>
      </x:c>
      <x:c r="S172" s="2870" t="n">
        <x:f>IF(AND(ISNUMBER(K172),K172&gt;0,ISNUMBER(Q172),Q172&gt;0),MIN(1,K172/Q172),"")</x:f>
        <x:v>1</x:v>
      </x:c>
      <x:c r="T172" s="2870" t="n">
        <x:f>IF(AND(ISNUMBER(R172),ISNUMBER(S172)),MIN(R172,S172),"")</x:f>
        <x:v>0.3137254901960784</x:v>
      </x:c>
      <x:c r="U172" s="2872" t="n">
        <x:f>IF(AND(ISNUMBER(M172),ISNUMBER(T172)),(M172-T172)*100,"")</x:f>
        <x:v>-14.672549019607844</x:v>
      </x:c>
      <x:c r="V172" s="2973" t="n"/>
      <x:c r="W172" s="2870" t="n"/>
      <x:c r="X172" s="2870" t="n"/>
      <x:c r="Y172" s="2957" t="n"/>
      <x:c r="Z172" s="2870" t="n"/>
      <x:c r="AA172" s="2941" t="n"/>
      <x:c r="AB172" s="2933" t="inlineStr">
        <x:is>
          <x:t xml:space="preserve">PASS</x:t>
        </x:is>
      </x:c>
      <x:c r="AC172" s="2880" t="inlineStr">
        <x:is>
          <x:t xml:space="preserve">matmul_shared_lowp（MXFP4）；本轮 model-main ae058a98 + 6参数(无SoC带宽/延迟) 2026-09-26</x:t>
        </x:is>
      </x:c>
    </x:row>
    <x:row r="173" ht="20" customHeight="1">
      <x:c r="A173" s="2866" t="inlineStr">
        <x:is>
          <x:t xml:space="preserve">MXFP4</x:t>
        </x:is>
      </x:c>
      <x:c r="B173" s="2973" t="n">
        <x:v>256</x:v>
      </x:c>
      <x:c r="C173" s="2973" t="n">
        <x:v>128</x:v>
      </x:c>
      <x:c r="D173" s="2973" t="n">
        <x:v>7168</x:v>
      </x:c>
      <x:c r="E173" s="2973" t="n">
        <x:v>128</x:v>
      </x:c>
      <x:c r="F173" s="2973" t="n">
        <x:v>64</x:v>
      </x:c>
      <x:c r="G173" s="2973" t="n">
        <x:v>1024</x:v>
      </x:c>
      <x:c r="H173" s="2974" t="n">
        <x:v>132</x:v>
      </x:c>
      <x:c r="I173" s="2974" t="n">
        <x:v>66</x:v>
      </x:c>
      <x:c r="J173" s="2974" t="n">
        <x:v>198</x:v>
      </x:c>
      <x:c r="K173" s="2975" t="n">
        <x:v>128</x:v>
      </x:c>
      <x:c r="L173" s="2973" t="n">
        <x:v>140786</x:v>
      </x:c>
      <x:c r="M173" s="2870" t="n">
        <x:f>IF(AND(ISNUMBER(L173),L173&gt;0),ROUND(B173*C173*D173/16384/L173*100,1)/100,"")</x:f>
        <x:v>0.102</x:v>
      </x:c>
      <x:c r="N173" s="2973" t="n">
        <x:f>IF(OR(B173="",C173="",D173="",E173="",F173="",G173=""),"",ROUNDUP(B173/MIN(E173,128),0)*(C173/F173)*(D173/G173)*((MIN(B173,MIN(E173,128))+F173)*G173*(17/32)/1024))</x:f>
        <x:v>2856</x:v>
      </x:c>
      <x:c r="O173" s="2871" t="n">
        <x:f>IF(AND(ISNUMBER(N173),ISNUMBER(K173),K173&gt;0),N173*1024/K173,"")</x:f>
        <x:v>22848</x:v>
      </x:c>
      <x:c r="P173" s="2872" t="n">
        <x:f>IF(OR(E173="",F173="",G173=""),"",((H173+I173)*1024)/(E173*F173*G173/16384))</x:f>
        <x:v>396</x:v>
      </x:c>
      <x:c r="Q173" s="2872" t="n">
        <x:f>IF(OR(E173="",F173="",G173=""),"",(E173*F173*4)/(E173*F173*G173/16384))</x:f>
        <x:v>64</x:v>
      </x:c>
      <x:c r="R173" s="2870" t="n">
        <x:f>IF(AND(ISNUMBER(K173),K173&gt;0,ISNUMBER(P173),P173&gt;0),MIN(1,K173/P173),"")</x:f>
        <x:v>0.32323232323232326</x:v>
      </x:c>
      <x:c r="S173" s="2870" t="n">
        <x:f>IF(AND(ISNUMBER(K173),K173&gt;0,ISNUMBER(Q173),Q173&gt;0),MIN(1,K173/Q173),"")</x:f>
        <x:v>1</x:v>
      </x:c>
      <x:c r="T173" s="2870" t="n">
        <x:f>IF(AND(ISNUMBER(R173),ISNUMBER(S173)),MIN(R173,S173),"")</x:f>
        <x:v>0.32323232323232326</x:v>
      </x:c>
      <x:c r="U173" s="2872" t="n">
        <x:f>IF(AND(ISNUMBER(M173),ISNUMBER(T173)),(M173-T173)*100,"")</x:f>
        <x:v>-22.12323232323233</x:v>
      </x:c>
      <x:c r="V173" s="2973" t="n"/>
      <x:c r="W173" s="2870" t="n"/>
      <x:c r="X173" s="2870" t="n"/>
      <x:c r="Y173" s="2957" t="n"/>
      <x:c r="Z173" s="2870" t="n"/>
      <x:c r="AA173" s="2941" t="n"/>
      <x:c r="AB173" s="2933" t="inlineStr">
        <x:is>
          <x:t xml:space="preserve">PASS</x:t>
        </x:is>
      </x:c>
      <x:c r="AC173" s="2880" t="inlineStr">
        <x:is>
          <x:t xml:space="preserve">matmul_shared_lowp（MXFP4）；本轮 model-main ae058a98 + 6参数(无SoC带宽/延迟) 2026-09-26</x:t>
        </x:is>
      </x:c>
    </x:row>
    <x:row r="174" ht="20" customHeight="1">
      <x:c r="A174" s="2866" t="inlineStr">
        <x:is>
          <x:t xml:space="preserve">MXFP4</x:t>
        </x:is>
      </x:c>
      <x:c r="B174" s="2973" t="n">
        <x:v>256</x:v>
      </x:c>
      <x:c r="C174" s="2973" t="n">
        <x:v>128</x:v>
      </x:c>
      <x:c r="D174" s="2973" t="n">
        <x:v>7168</x:v>
      </x:c>
      <x:c r="E174" s="2973" t="n">
        <x:v>128</x:v>
      </x:c>
      <x:c r="F174" s="2973" t="n">
        <x:v>128</x:v>
      </x:c>
      <x:c r="G174" s="2973" t="n">
        <x:v>256</x:v>
      </x:c>
      <x:c r="H174" s="2974" t="n">
        <x:v>36</x:v>
      </x:c>
      <x:c r="I174" s="2974" t="n">
        <x:v>36</x:v>
      </x:c>
      <x:c r="J174" s="2974" t="n">
        <x:v>72</x:v>
      </x:c>
      <x:c r="K174" s="2975" t="n">
        <x:v>128</x:v>
      </x:c>
      <x:c r="L174" s="2973" t="n">
        <x:v>61242</x:v>
      </x:c>
      <x:c r="M174" s="2870" t="n">
        <x:f>IF(AND(ISNUMBER(L174),L174&gt;0),ROUND(B174*C174*D174/16384/L174*100,1)/100,"")</x:f>
        <x:v>0.23399999999999999</x:v>
      </x:c>
      <x:c r="N174" s="2973" t="n">
        <x:f>IF(OR(B174="",C174="",D174="",E174="",F174="",G174=""),"",ROUNDUP(B174/MIN(E174,128),0)*(C174/F174)*(D174/G174)*((MIN(B174,MIN(E174,128))+F174)*G174*(17/32)/1024))</x:f>
        <x:v>1904</x:v>
      </x:c>
      <x:c r="O174" s="2871" t="n">
        <x:f>IF(AND(ISNUMBER(N174),ISNUMBER(K174),K174&gt;0),N174*1024/K174,"")</x:f>
        <x:v>15232</x:v>
      </x:c>
      <x:c r="P174" s="2872" t="n">
        <x:f>IF(OR(E174="",F174="",G174=""),"",((H174+I174)*1024)/(E174*F174*G174/16384))</x:f>
        <x:v>288</x:v>
      </x:c>
      <x:c r="Q174" s="2872" t="n">
        <x:f>IF(OR(E174="",F174="",G174=""),"",(E174*F174*4)/(E174*F174*G174/16384))</x:f>
        <x:v>256</x:v>
      </x:c>
      <x:c r="R174" s="2870" t="n">
        <x:f>IF(AND(ISNUMBER(K174),K174&gt;0,ISNUMBER(P174),P174&gt;0),MIN(1,K174/P174),"")</x:f>
        <x:v>0.4444444444444444</x:v>
      </x:c>
      <x:c r="S174" s="2870" t="n">
        <x:f>IF(AND(ISNUMBER(K174),K174&gt;0,ISNUMBER(Q174),Q174&gt;0),MIN(1,K174/Q174),"")</x:f>
        <x:v>0.5</x:v>
      </x:c>
      <x:c r="T174" s="2870" t="n">
        <x:f>IF(AND(ISNUMBER(R174),ISNUMBER(S174)),MIN(R174,S174),"")</x:f>
        <x:v>0.4444444444444444</x:v>
      </x:c>
      <x:c r="U174" s="2872" t="n">
        <x:f>IF(AND(ISNUMBER(M174),ISNUMBER(T174)),(M174-T174)*100,"")</x:f>
        <x:v>-21.044444444444444</x:v>
      </x:c>
      <x:c r="V174" s="2973" t="n"/>
      <x:c r="W174" s="2870" t="n"/>
      <x:c r="X174" s="2870" t="n"/>
      <x:c r="Y174" s="2957" t="n"/>
      <x:c r="Z174" s="2870" t="n"/>
      <x:c r="AA174" s="2941" t="n"/>
      <x:c r="AB174" s="2933" t="inlineStr">
        <x:is>
          <x:t xml:space="preserve">PASS</x:t>
        </x:is>
      </x:c>
      <x:c r="AC174" s="2880" t="inlineStr">
        <x:is>
          <x:t xml:space="preserve">matmul_shared_lowp（MXFP4）；本轮 model-main ae058a98 + 6参数(无SoC带宽/延迟) 2026-09-26</x:t>
        </x:is>
      </x:c>
    </x:row>
    <x:row r="175" ht="20" customHeight="1">
      <x:c r="A175" s="2866" t="inlineStr">
        <x:is>
          <x:t xml:space="preserve">MXFP4</x:t>
        </x:is>
      </x:c>
      <x:c r="B175" s="2973" t="n">
        <x:v>256</x:v>
      </x:c>
      <x:c r="C175" s="2973" t="n">
        <x:v>128</x:v>
      </x:c>
      <x:c r="D175" s="2973" t="n">
        <x:v>7168</x:v>
      </x:c>
      <x:c r="E175" s="2973" t="n">
        <x:v>128</x:v>
      </x:c>
      <x:c r="F175" s="2973" t="n">
        <x:v>128</x:v>
      </x:c>
      <x:c r="G175" s="2973" t="n">
        <x:v>512</x:v>
      </x:c>
      <x:c r="H175" s="2974" t="n">
        <x:v>68</x:v>
      </x:c>
      <x:c r="I175" s="2974" t="n">
        <x:v>68</x:v>
      </x:c>
      <x:c r="J175" s="2974" t="n">
        <x:v>136</x:v>
      </x:c>
      <x:c r="K175" s="2975" t="n">
        <x:v>128</x:v>
      </x:c>
      <x:c r="L175" s="2973" t="n">
        <x:v>74324</x:v>
      </x:c>
      <x:c r="M175" s="2870" t="n">
        <x:f>IF(AND(ISNUMBER(L175),L175&gt;0),ROUND(B175*C175*D175/16384/L175*100,1)/100,"")</x:f>
        <x:v>0.193</x:v>
      </x:c>
      <x:c r="N175" s="2973" t="n">
        <x:f>IF(OR(B175="",C175="",D175="",E175="",F175="",G175=""),"",ROUNDUP(B175/MIN(E175,128),0)*(C175/F175)*(D175/G175)*((MIN(B175,MIN(E175,128))+F175)*G175*(17/32)/1024))</x:f>
        <x:v>1904</x:v>
      </x:c>
      <x:c r="O175" s="2871" t="n">
        <x:f>IF(AND(ISNUMBER(N175),ISNUMBER(K175),K175&gt;0),N175*1024/K175,"")</x:f>
        <x:v>15232</x:v>
      </x:c>
      <x:c r="P175" s="2872" t="n">
        <x:f>IF(OR(E175="",F175="",G175=""),"",((H175+I175)*1024)/(E175*F175*G175/16384))</x:f>
        <x:v>272</x:v>
      </x:c>
      <x:c r="Q175" s="2872" t="n">
        <x:f>IF(OR(E175="",F175="",G175=""),"",(E175*F175*4)/(E175*F175*G175/16384))</x:f>
        <x:v>128</x:v>
      </x:c>
      <x:c r="R175" s="2870" t="n">
        <x:f>IF(AND(ISNUMBER(K175),K175&gt;0,ISNUMBER(P175),P175&gt;0),MIN(1,K175/P175),"")</x:f>
        <x:v>0.47058823529411764</x:v>
      </x:c>
      <x:c r="S175" s="2870" t="n">
        <x:f>IF(AND(ISNUMBER(K175),K175&gt;0,ISNUMBER(Q175),Q175&gt;0),MIN(1,K175/Q175),"")</x:f>
        <x:v>1</x:v>
      </x:c>
      <x:c r="T175" s="2870" t="n">
        <x:f>IF(AND(ISNUMBER(R175),ISNUMBER(S175)),MIN(R175,S175),"")</x:f>
        <x:v>0.47058823529411764</x:v>
      </x:c>
      <x:c r="U175" s="2872" t="n">
        <x:f>IF(AND(ISNUMBER(M175),ISNUMBER(T175)),(M175-T175)*100,"")</x:f>
        <x:v>-27.758823529411764</x:v>
      </x:c>
      <x:c r="V175" s="2973" t="n"/>
      <x:c r="W175" s="2870" t="n"/>
      <x:c r="X175" s="2870" t="n"/>
      <x:c r="Y175" s="2957" t="n"/>
      <x:c r="Z175" s="2870" t="n"/>
      <x:c r="AA175" s="2941" t="n"/>
      <x:c r="AB175" s="2933" t="inlineStr">
        <x:is>
          <x:t xml:space="preserve">PASS</x:t>
        </x:is>
      </x:c>
      <x:c r="AC175" s="2880" t="inlineStr">
        <x:is>
          <x:t xml:space="preserve">matmul_shared_lowp（MXFP4）；本轮 model-main ae058a98 + 6参数(无SoC带宽/延迟) 2026-09-26</x:t>
        </x:is>
      </x:c>
    </x:row>
    <x:row r="176" ht="20" customHeight="1">
      <x:c r="A176" s="2866" t="inlineStr">
        <x:is>
          <x:t xml:space="preserve">MXFP4</x:t>
        </x:is>
      </x:c>
      <x:c r="B176" s="2973" t="n">
        <x:v>256</x:v>
      </x:c>
      <x:c r="C176" s="2973" t="n">
        <x:v>128</x:v>
      </x:c>
      <x:c r="D176" s="2973" t="n">
        <x:v>7168</x:v>
      </x:c>
      <x:c r="E176" s="2973" t="n">
        <x:v>128</x:v>
      </x:c>
      <x:c r="F176" s="2973" t="n">
        <x:v>128</x:v>
      </x:c>
      <x:c r="G176" s="2973" t="n">
        <x:v>1024</x:v>
      </x:c>
      <x:c r="H176" s="2974" t="n">
        <x:v>132</x:v>
      </x:c>
      <x:c r="I176" s="2974" t="n">
        <x:v>132</x:v>
      </x:c>
      <x:c r="J176" s="2974" t="n">
        <x:v>264</x:v>
      </x:c>
      <x:c r="K176" s="2975" t="n">
        <x:v>128</x:v>
      </x:c>
      <x:c r="L176" s="2973" t="inlineStr">
        <x:is>
          <x:t xml:space="preserve">—</x:t>
        </x:is>
      </x:c>
      <x:c r="M176" s="2870" t="str">
        <x:f>IF(AND(ISNUMBER(L176),L176&gt;0),ROUND(B176*C176*D176/16384/L176*100,1)/100,"")</x:f>
      </x:c>
      <x:c r="N176" s="2973" t="n">
        <x:f>IF(OR(B176="",C176="",D176="",E176="",F176="",G176=""),"",ROUNDUP(B176/MIN(E176,128),0)*(C176/F176)*(D176/G176)*((MIN(B176,MIN(E176,128))+F176)*G176*(17/32)/1024))</x:f>
        <x:v>1904</x:v>
      </x:c>
      <x:c r="O176" s="2871" t="n">
        <x:f>IF(AND(ISNUMBER(N176),ISNUMBER(K176),K176&gt;0),N176*1024/K176,"")</x:f>
        <x:v>15232</x:v>
      </x:c>
      <x:c r="P176" s="2872" t="n">
        <x:f>IF(OR(E176="",F176="",G176=""),"",((H176+I176)*1024)/(E176*F176*G176/16384))</x:f>
        <x:v>264</x:v>
      </x:c>
      <x:c r="Q176" s="2872" t="n">
        <x:f>IF(OR(E176="",F176="",G176=""),"",(E176*F176*4)/(E176*F176*G176/16384))</x:f>
        <x:v>64</x:v>
      </x:c>
      <x:c r="R176" s="2870" t="n">
        <x:f>IF(AND(ISNUMBER(K176),K176&gt;0,ISNUMBER(P176),P176&gt;0),MIN(1,K176/P176),"")</x:f>
        <x:v>0.48484848484848486</x:v>
      </x:c>
      <x:c r="S176" s="2870" t="n">
        <x:f>IF(AND(ISNUMBER(K176),K176&gt;0,ISNUMBER(Q176),Q176&gt;0),MIN(1,K176/Q176),"")</x:f>
        <x:v>1</x:v>
      </x:c>
      <x:c r="T176" s="2870" t="n">
        <x:f>IF(AND(ISNUMBER(R176),ISNUMBER(S176)),MIN(R176,S176),"")</x:f>
        <x:v>0.48484848484848486</x:v>
      </x:c>
      <x:c r="U176" s="2872" t="str">
        <x:f>IF(AND(ISNUMBER(M176),ISNUMBER(T176)),(M176-T176)*100,"")</x:f>
      </x:c>
      <x:c r="V176" s="2973" t="n"/>
      <x:c r="W176" s="2870" t="n"/>
      <x:c r="X176" s="2870" t="n"/>
      <x:c r="Y176" s="2957" t="n"/>
      <x:c r="Z176" s="2870" t="n"/>
      <x:c r="AA176" s="2941" t="n"/>
      <x:c r="AB176" s="2934" t="inlineStr">
        <x:is>
          <x:t xml:space="preserve">COMPILE_FAIL</x:t>
        </x:is>
      </x:c>
      <x:c r="AC176" s="2880" t="inlineStr">
        <x:is>
          <x:t xml:space="preserve">容量超限：完整 SharedTile 足迹 &gt; 256 KiB；本轮 model-main 9b3a4405 + 8参数(256KB ShareTReg) 2026-09-22</x:t>
        </x:is>
      </x:c>
    </x:row>
    <x:row r="177" ht="24" customHeight="1">
      <x:c r="A177" s="2805" t="inlineStr">
        <x:is>
          <x:t xml:space="preserve">▌ S4  —  64×128×7168</x:t>
        </x:is>
      </x:c>
      <x:c r="B177" s="2961" t="n"/>
      <x:c r="C177" s="2961" t="n"/>
      <x:c r="D177" s="2961" t="n"/>
      <x:c r="E177" s="2961" t="n"/>
      <x:c r="F177" s="2961" t="n"/>
      <x:c r="G177" s="2961" t="n"/>
      <x:c r="H177" s="2962" t="n"/>
      <x:c r="I177" s="2962" t="n"/>
      <x:c r="J177" s="2962" t="n"/>
      <x:c r="K177" s="2963"/>
      <x:c r="L177" s="2961" t="n"/>
      <x:c r="M177" s="2809" t="n"/>
      <x:c r="N177" s="2961" t="n"/>
      <x:c r="O177" s="2810" t="n"/>
      <x:c r="P177" s="2811" t="n"/>
      <x:c r="Q177" s="2811" t="n"/>
      <x:c r="R177" s="2809" t="n"/>
      <x:c r="S177" s="2809" t="n"/>
      <x:c r="T177" s="2809" t="n"/>
      <x:c r="U177" s="2811" t="n"/>
      <x:c r="V177" s="2961" t="n"/>
      <x:c r="W177" s="2809" t="n"/>
      <x:c r="X177" s="2809" t="n"/>
      <x:c r="Y177" s="2953" t="n"/>
      <x:c r="Z177" s="2809" t="n"/>
      <x:c r="AA177" s="2805" t="n"/>
      <x:c r="AB177" s="2805" t="n"/>
      <x:c r="AC177" s="2805" t="n"/>
    </x:row>
    <x:row r="178" ht="20" customHeight="1">
      <x:c r="A178" s="2822" t="inlineStr">
        <x:is>
          <x:t xml:space="preserve">FP32</x:t>
        </x:is>
      </x:c>
      <x:c r="B178" s="2964" t="n"/>
      <x:c r="C178" s="2964" t="n"/>
      <x:c r="D178" s="2964" t="n"/>
      <x:c r="E178" s="2964" t="n"/>
      <x:c r="F178" s="2964" t="n"/>
      <x:c r="G178" s="2964" t="n"/>
      <x:c r="H178" s="2965" t="n"/>
      <x:c r="I178" s="2965" t="n"/>
      <x:c r="J178" s="2965" t="n"/>
      <x:c r="K178" s="2966"/>
      <x:c r="L178" s="2964" t="n"/>
      <x:c r="M178" s="2826" t="str"/>
      <x:c r="N178" s="2964" t="str"/>
      <x:c r="O178" s="2827" t="str"/>
      <x:c r="P178" s="2828" t="str"/>
      <x:c r="Q178" s="2828" t="str"/>
      <x:c r="R178" s="2826" t="str"/>
      <x:c r="S178" s="2826" t="str"/>
      <x:c r="T178" s="2826" t="str"/>
      <x:c r="U178" s="2828" t="str"/>
      <x:c r="V178" s="2964" t="n"/>
      <x:c r="W178" s="2826" t="n"/>
      <x:c r="X178" s="2826" t="n"/>
      <x:c r="Y178" s="2954" t="n"/>
      <x:c r="Z178" s="2826" t="n"/>
      <x:c r="AA178" s="2822" t="n"/>
      <x:c r="AB178" s="2822" t="n"/>
      <x:c r="AC178" s="2822" t="n"/>
    </x:row>
    <x:row r="179" ht="20" customHeight="1">
      <x:c r="A179" s="2891" t="inlineStr">
        <x:is>
          <x:t xml:space="preserve">FP32</x:t>
        </x:is>
      </x:c>
      <x:c r="B179" s="2976" t="n">
        <x:v>64</x:v>
      </x:c>
      <x:c r="C179" s="2976" t="n">
        <x:v>128</x:v>
      </x:c>
      <x:c r="D179" s="2976" t="n">
        <x:v>7168</x:v>
      </x:c>
      <x:c r="E179" s="2976" t="n">
        <x:v>128</x:v>
      </x:c>
      <x:c r="F179" s="2976" t="n">
        <x:v>64</x:v>
      </x:c>
      <x:c r="G179" s="2976" t="n">
        <x:v>64</x:v>
      </x:c>
      <x:c r="H179" s="2977" t="n">
        <x:v>32</x:v>
      </x:c>
      <x:c r="I179" s="2977" t="n">
        <x:v>16</x:v>
      </x:c>
      <x:c r="J179" s="2977" t="n">
        <x:v>48</x:v>
      </x:c>
      <x:c r="K179" s="2978" t="n">
        <x:v>128</x:v>
      </x:c>
      <x:c r="L179" s="2976" t="n">
        <x:v>90238</x:v>
      </x:c>
      <x:c r="M179" s="2895" t="n">
        <x:f>IF(AND(ISNUMBER(L179),L179&gt;0),ROUND(B179*C179*D179/2048/L179*100,1)/100,"")</x:f>
        <x:v>0.318</x:v>
      </x:c>
      <x:c r="N179" s="2976" t="n">
        <x:f>IF(OR(B179="",C179="",D179="",E179="",F179="",G179=""),"",ROUNDUP(B179/MIN(E179,128),0)*(C179/F179)*(D179/G179)*((MIN(B179,MIN(E179,128))+F179)*G179*4/1024))</x:f>
        <x:v>7168</x:v>
      </x:c>
      <x:c r="O179" s="2896" t="n">
        <x:f>IF(AND(ISNUMBER(N179),ISNUMBER(K179),K179&gt;0),N179*1024/K179,"")</x:f>
        <x:v>57344</x:v>
      </x:c>
      <x:c r="P179" s="2897" t="n">
        <x:f>IF(OR(E179="",F179="",G179=""),"",((H179+I179)*1024)/(E179*F179*G179/2048))</x:f>
        <x:v>192</x:v>
      </x:c>
      <x:c r="Q179" s="2897" t="n">
        <x:f>IF(OR(E179="",F179="",G179=""),"",(E179*F179*4)/(E179*F179*G179/2048))</x:f>
        <x:v>128</x:v>
      </x:c>
      <x:c r="R179" s="2895" t="n">
        <x:f>IF(AND(ISNUMBER(K179),K179&gt;0,ISNUMBER(P179),P179&gt;0),MIN(1,K179/P179),"")</x:f>
        <x:v>0.6666666666666666</x:v>
      </x:c>
      <x:c r="S179" s="2895" t="n">
        <x:f>IF(AND(ISNUMBER(K179),K179&gt;0,ISNUMBER(Q179),Q179&gt;0),MIN(1,K179/Q179),"")</x:f>
        <x:v>1</x:v>
      </x:c>
      <x:c r="T179" s="2895" t="n">
        <x:f>IF(AND(ISNUMBER(R179),ISNUMBER(S179)),MIN(R179,S179),"")</x:f>
        <x:v>0.6666666666666666</x:v>
      </x:c>
      <x:c r="U179" s="2897" t="n">
        <x:f>IF(AND(ISNUMBER(M179),ISNUMBER(T179)),(M179-T179)*100,"")</x:f>
        <x:v>-34.86666666666666</x:v>
      </x:c>
      <x:c r="V179" s="2976" t="inlineStr">
        <x:is>
          <x:t xml:space="preserve">—</x:t>
        </x:is>
      </x:c>
      <x:c r="W179" s="2895" t="n"/>
      <x:c r="X179" s="2895" t="n"/>
      <x:c r="Y179" s="2958" t="n"/>
      <x:c r="Z179" s="2895" t="n"/>
      <x:c r="AA179" s="2936" t="inlineStr">
        <x:is>
          <x:t xml:space="preserve">COMPILE_FAIL</x:t>
        </x:is>
      </x:c>
      <x:c r="AB179" s="2935" t="inlineStr">
        <x:is>
          <x:t xml:space="preserve">PASS</x:t>
        </x:is>
      </x:c>
      <x:c r="AC179" s="2905" t="inlineStr">
        <x:is>
          <x:t xml:space="preserve">本轮 model-main ae058a98 + 6参数(无SoC带宽/延迟) 2026-09-26</x:t>
        </x:is>
      </x:c>
    </x:row>
    <x:row r="180" ht="20" customHeight="1">
      <x:c r="A180" s="2891" t="inlineStr">
        <x:is>
          <x:t xml:space="preserve">FP32</x:t>
        </x:is>
      </x:c>
      <x:c r="B180" s="2976" t="n">
        <x:v>64</x:v>
      </x:c>
      <x:c r="C180" s="2976" t="n">
        <x:v>128</x:v>
      </x:c>
      <x:c r="D180" s="2976" t="n">
        <x:v>7168</x:v>
      </x:c>
      <x:c r="E180" s="2976" t="n">
        <x:v>128</x:v>
      </x:c>
      <x:c r="F180" s="2976" t="n">
        <x:v>64</x:v>
      </x:c>
      <x:c r="G180" s="2976" t="n">
        <x:v>128</x:v>
      </x:c>
      <x:c r="H180" s="2977" t="n">
        <x:v>64</x:v>
      </x:c>
      <x:c r="I180" s="2977" t="n">
        <x:v>32</x:v>
      </x:c>
      <x:c r="J180" s="2977" t="n">
        <x:v>96</x:v>
      </x:c>
      <x:c r="K180" s="2978" t="n">
        <x:v>128</x:v>
      </x:c>
      <x:c r="L180" s="2976" t="n">
        <x:v>90521</x:v>
      </x:c>
      <x:c r="M180" s="2895" t="n">
        <x:f>IF(AND(ISNUMBER(L180),L180&gt;0),ROUND(B180*C180*D180/2048/L180*100,1)/100,"")</x:f>
        <x:v>0.317</x:v>
      </x:c>
      <x:c r="N180" s="2976" t="n">
        <x:f>IF(OR(B180="",C180="",D180="",E180="",F180="",G180=""),"",ROUNDUP(B180/MIN(E180,128),0)*(C180/F180)*(D180/G180)*((MIN(B180,MIN(E180,128))+F180)*G180*4/1024))</x:f>
        <x:v>7168</x:v>
      </x:c>
      <x:c r="O180" s="2896" t="n">
        <x:f>IF(AND(ISNUMBER(N180),ISNUMBER(K180),K180&gt;0),N180*1024/K180,"")</x:f>
        <x:v>57344</x:v>
      </x:c>
      <x:c r="P180" s="2897" t="n">
        <x:f>IF(OR(E180="",F180="",G180=""),"",((H180+I180)*1024)/(E180*F180*G180/2048))</x:f>
        <x:v>192</x:v>
      </x:c>
      <x:c r="Q180" s="2897" t="n">
        <x:f>IF(OR(E180="",F180="",G180=""),"",(E180*F180*4)/(E180*F180*G180/2048))</x:f>
        <x:v>64</x:v>
      </x:c>
      <x:c r="R180" s="2895" t="n">
        <x:f>IF(AND(ISNUMBER(K180),K180&gt;0,ISNUMBER(P180),P180&gt;0),MIN(1,K180/P180),"")</x:f>
        <x:v>0.6666666666666666</x:v>
      </x:c>
      <x:c r="S180" s="2895" t="n">
        <x:f>IF(AND(ISNUMBER(K180),K180&gt;0,ISNUMBER(Q180),Q180&gt;0),MIN(1,K180/Q180),"")</x:f>
        <x:v>1</x:v>
      </x:c>
      <x:c r="T180" s="2895" t="n">
        <x:f>IF(AND(ISNUMBER(R180),ISNUMBER(S180)),MIN(R180,S180),"")</x:f>
        <x:v>0.6666666666666666</x:v>
      </x:c>
      <x:c r="U180" s="2897" t="n">
        <x:f>IF(AND(ISNUMBER(M180),ISNUMBER(T180)),(M180-T180)*100,"")</x:f>
        <x:v>-34.96666666666666</x:v>
      </x:c>
      <x:c r="V180" s="2976" t="inlineStr">
        <x:is>
          <x:t xml:space="preserve">—</x:t>
        </x:is>
      </x:c>
      <x:c r="W180" s="2895" t="n"/>
      <x:c r="X180" s="2895" t="n"/>
      <x:c r="Y180" s="2958" t="n"/>
      <x:c r="Z180" s="2895" t="n"/>
      <x:c r="AA180" s="2936" t="inlineStr">
        <x:is>
          <x:t xml:space="preserve">ASSERT_FAIL</x:t>
        </x:is>
      </x:c>
      <x:c r="AB180" s="2935" t="inlineStr">
        <x:is>
          <x:t xml:space="preserve">PASS</x:t>
        </x:is>
      </x:c>
      <x:c r="AC180" s="2905" t="inlineStr">
        <x:is>
          <x:t xml:space="preserve">本轮 model-main ae058a98 + 6参数(无SoC带宽/延迟) 2026-09-26</x:t>
        </x:is>
      </x:c>
    </x:row>
    <x:row r="181" ht="20" customHeight="1">
      <x:c r="A181" s="2891" t="inlineStr">
        <x:is>
          <x:t xml:space="preserve">FP32</x:t>
        </x:is>
      </x:c>
      <x:c r="B181" s="2976" t="n">
        <x:v>64</x:v>
      </x:c>
      <x:c r="C181" s="2976" t="n">
        <x:v>128</x:v>
      </x:c>
      <x:c r="D181" s="2976" t="n">
        <x:v>7168</x:v>
      </x:c>
      <x:c r="E181" s="2976" t="n">
        <x:v>128</x:v>
      </x:c>
      <x:c r="F181" s="2976" t="n">
        <x:v>64</x:v>
      </x:c>
      <x:c r="G181" s="2976" t="n">
        <x:v>256</x:v>
      </x:c>
      <x:c r="H181" s="2977" t="n">
        <x:v>128</x:v>
      </x:c>
      <x:c r="I181" s="2977" t="n">
        <x:v>64</x:v>
      </x:c>
      <x:c r="J181" s="2977" t="n">
        <x:v>192</x:v>
      </x:c>
      <x:c r="K181" s="2978" t="n">
        <x:v>128</x:v>
      </x:c>
      <x:c r="L181" s="2976" t="n">
        <x:v>166834</x:v>
      </x:c>
      <x:c r="M181" s="2895" t="n">
        <x:f>IF(AND(ISNUMBER(L181),L181&gt;0),ROUND(B181*C181*D181/2048/L181*100,1)/100,"")</x:f>
        <x:v>0.172</x:v>
      </x:c>
      <x:c r="N181" s="2976" t="n">
        <x:f>IF(OR(B181="",C181="",D181="",E181="",F181="",G181=""),"",ROUNDUP(B181/MIN(E181,128),0)*(C181/F181)*(D181/G181)*((MIN(B181,MIN(E181,128))+F181)*G181*4/1024))</x:f>
        <x:v>7168</x:v>
      </x:c>
      <x:c r="O181" s="2896" t="n">
        <x:f>IF(AND(ISNUMBER(N181),ISNUMBER(K181),K181&gt;0),N181*1024/K181,"")</x:f>
        <x:v>57344</x:v>
      </x:c>
      <x:c r="P181" s="2897" t="n">
        <x:f>IF(OR(E181="",F181="",G181=""),"",((H181+I181)*1024)/(E181*F181*G181/2048))</x:f>
        <x:v>192</x:v>
      </x:c>
      <x:c r="Q181" s="2897" t="n">
        <x:f>IF(OR(E181="",F181="",G181=""),"",(E181*F181*4)/(E181*F181*G181/2048))</x:f>
        <x:v>32</x:v>
      </x:c>
      <x:c r="R181" s="2895" t="n">
        <x:f>IF(AND(ISNUMBER(K181),K181&gt;0,ISNUMBER(P181),P181&gt;0),MIN(1,K181/P181),"")</x:f>
        <x:v>0.6666666666666666</x:v>
      </x:c>
      <x:c r="S181" s="2895" t="n">
        <x:f>IF(AND(ISNUMBER(K181),K181&gt;0,ISNUMBER(Q181),Q181&gt;0),MIN(1,K181/Q181),"")</x:f>
        <x:v>1</x:v>
      </x:c>
      <x:c r="T181" s="2895" t="n">
        <x:f>IF(AND(ISNUMBER(R181),ISNUMBER(S181)),MIN(R181,S181),"")</x:f>
        <x:v>0.6666666666666666</x:v>
      </x:c>
      <x:c r="U181" s="2897" t="n">
        <x:f>IF(AND(ISNUMBER(M181),ISNUMBER(T181)),(M181-T181)*100,"")</x:f>
        <x:v>-49.46666666666666</x:v>
      </x:c>
      <x:c r="V181" s="2976" t="inlineStr">
        <x:is>
          <x:t xml:space="preserve">—</x:t>
        </x:is>
      </x:c>
      <x:c r="W181" s="2895" t="n"/>
      <x:c r="X181" s="2895" t="n"/>
      <x:c r="Y181" s="2958" t="n"/>
      <x:c r="Z181" s="2895" t="n"/>
      <x:c r="AA181" s="2936" t="inlineStr">
        <x:is>
          <x:t xml:space="preserve">ASSERT_FAIL</x:t>
        </x:is>
      </x:c>
      <x:c r="AB181" s="2935" t="inlineStr">
        <x:is>
          <x:t xml:space="preserve">PASS</x:t>
        </x:is>
      </x:c>
      <x:c r="AC181" s="2905" t="inlineStr">
        <x:is>
          <x:t xml:space="preserve">本轮 model-main ae058a98 + 6参数(无SoC带宽/延迟) 2026-09-26</x:t>
        </x:is>
      </x:c>
    </x:row>
    <x:row r="182" ht="20" customHeight="1">
      <x:c r="A182" s="2891" t="inlineStr">
        <x:is>
          <x:t xml:space="preserve">FP32</x:t>
        </x:is>
      </x:c>
      <x:c r="B182" s="2976" t="n">
        <x:v>64</x:v>
      </x:c>
      <x:c r="C182" s="2976" t="n">
        <x:v>128</x:v>
      </x:c>
      <x:c r="D182" s="2976" t="n">
        <x:v>7168</x:v>
      </x:c>
      <x:c r="E182" s="2976" t="n">
        <x:v>128</x:v>
      </x:c>
      <x:c r="F182" s="2976" t="n">
        <x:v>64</x:v>
      </x:c>
      <x:c r="G182" s="2976" t="n">
        <x:v>512</x:v>
      </x:c>
      <x:c r="H182" s="2977" t="n">
        <x:v>256</x:v>
      </x:c>
      <x:c r="I182" s="2977" t="n">
        <x:v>128</x:v>
      </x:c>
      <x:c r="J182" s="2977" t="n">
        <x:v>384</x:v>
      </x:c>
      <x:c r="K182" s="2978" t="n">
        <x:v>128</x:v>
      </x:c>
      <x:c r="L182" s="2976" t="inlineStr">
        <x:is>
          <x:t xml:space="preserve">—</x:t>
        </x:is>
      </x:c>
      <x:c r="M182" s="2895" t="str">
        <x:f>IF(AND(ISNUMBER(L182),L182&gt;0),ROUND(B182*C182*D182/2048/L182*100,1)/100,"")</x:f>
      </x:c>
      <x:c r="N182" s="2976" t="n">
        <x:f>IF(OR(B182="",C182="",D182="",E182="",F182="",G182=""),"",ROUNDUP(B182/MIN(E182,128),0)*(C182/F182)*(D182/G182)*((MIN(B182,MIN(E182,128))+F182)*G182*4/1024))</x:f>
        <x:v>7168</x:v>
      </x:c>
      <x:c r="O182" s="2896" t="n">
        <x:f>IF(AND(ISNUMBER(N182),ISNUMBER(K182),K182&gt;0),N182*1024/K182,"")</x:f>
        <x:v>57344</x:v>
      </x:c>
      <x:c r="P182" s="2897" t="n">
        <x:f>IF(OR(E182="",F182="",G182=""),"",((H182+I182)*1024)/(E182*F182*G182/2048))</x:f>
        <x:v>192</x:v>
      </x:c>
      <x:c r="Q182" s="2897" t="n">
        <x:f>IF(OR(E182="",F182="",G182=""),"",(E182*F182*4)/(E182*F182*G182/2048))</x:f>
        <x:v>16</x:v>
      </x:c>
      <x:c r="R182" s="2895" t="n">
        <x:f>IF(AND(ISNUMBER(K182),K182&gt;0,ISNUMBER(P182),P182&gt;0),MIN(1,K182/P182),"")</x:f>
        <x:v>0.6666666666666666</x:v>
      </x:c>
      <x:c r="S182" s="2895" t="n">
        <x:f>IF(AND(ISNUMBER(K182),K182&gt;0,ISNUMBER(Q182),Q182&gt;0),MIN(1,K182/Q182),"")</x:f>
        <x:v>1</x:v>
      </x:c>
      <x:c r="T182" s="2895" t="n">
        <x:f>IF(AND(ISNUMBER(R182),ISNUMBER(S182)),MIN(R182,S182),"")</x:f>
        <x:v>0.6666666666666666</x:v>
      </x:c>
      <x:c r="U182" s="2897" t="str">
        <x:f>IF(AND(ISNUMBER(M182),ISNUMBER(T182)),(M182-T182)*100,"")</x:f>
      </x:c>
      <x:c r="V182" s="2976" t="inlineStr">
        <x:is>
          <x:t xml:space="preserve">—</x:t>
        </x:is>
      </x:c>
      <x:c r="W182" s="2895" t="n"/>
      <x:c r="X182" s="2895" t="n"/>
      <x:c r="Y182" s="2958" t="n"/>
      <x:c r="Z182" s="2895" t="n"/>
      <x:c r="AA182" s="2936" t="inlineStr">
        <x:is>
          <x:t xml:space="preserve">ASSERT_FAIL</x:t>
        </x:is>
      </x:c>
      <x:c r="AB182" s="2936" t="inlineStr">
        <x:is>
          <x:t xml:space="preserve">COMPILE_FAIL</x:t>
        </x:is>
      </x:c>
      <x:c r="AC182" s="2905" t="inlineStr">
        <x:is>
          <x:t xml:space="preserve">容量超限：完整 SharedTile 足迹 &gt; 256 KiB；本轮 model-main 9b3a4405 + 8参数(256KB ShareTReg) 2026-09-22</x:t>
        </x:is>
      </x:c>
    </x:row>
    <x:row r="183" ht="20" customHeight="1">
      <x:c r="A183" s="2891" t="inlineStr">
        <x:is>
          <x:t xml:space="preserve">FP32</x:t>
        </x:is>
      </x:c>
      <x:c r="B183" s="2976" t="n">
        <x:v>64</x:v>
      </x:c>
      <x:c r="C183" s="2976" t="n">
        <x:v>128</x:v>
      </x:c>
      <x:c r="D183" s="2976" t="n">
        <x:v>7168</x:v>
      </x:c>
      <x:c r="E183" s="2976" t="n">
        <x:v>128</x:v>
      </x:c>
      <x:c r="F183" s="2976" t="n">
        <x:v>128</x:v>
      </x:c>
      <x:c r="G183" s="2976" t="n">
        <x:v>64</x:v>
      </x:c>
      <x:c r="H183" s="2977" t="n">
        <x:v>32</x:v>
      </x:c>
      <x:c r="I183" s="2977" t="n">
        <x:v>32</x:v>
      </x:c>
      <x:c r="J183" s="2977" t="n">
        <x:v>64</x:v>
      </x:c>
      <x:c r="K183" s="2978" t="n">
        <x:v>128</x:v>
      </x:c>
      <x:c r="L183" s="2976" t="n">
        <x:v>68420</x:v>
      </x:c>
      <x:c r="M183" s="2895" t="n">
        <x:f>IF(AND(ISNUMBER(L183),L183&gt;0),ROUND(B183*C183*D183/2048/L183*100,1)/100,"")</x:f>
        <x:v>0.419</x:v>
      </x:c>
      <x:c r="N183" s="2976" t="n">
        <x:f>IF(OR(B183="",C183="",D183="",E183="",F183="",G183=""),"",ROUNDUP(B183/MIN(E183,128),0)*(C183/F183)*(D183/G183)*((MIN(B183,MIN(E183,128))+F183)*G183*4/1024))</x:f>
        <x:v>5376</x:v>
      </x:c>
      <x:c r="O183" s="2896" t="n">
        <x:f>IF(AND(ISNUMBER(N183),ISNUMBER(K183),K183&gt;0),N183*1024/K183,"")</x:f>
        <x:v>43008</x:v>
      </x:c>
      <x:c r="P183" s="2897" t="n">
        <x:f>IF(OR(E183="",F183="",G183=""),"",((H183+I183)*1024)/(E183*F183*G183/2048))</x:f>
        <x:v>128</x:v>
      </x:c>
      <x:c r="Q183" s="2897" t="n">
        <x:f>IF(OR(E183="",F183="",G183=""),"",(E183*F183*4)/(E183*F183*G183/2048))</x:f>
        <x:v>128</x:v>
      </x:c>
      <x:c r="R183" s="2895" t="n">
        <x:f>IF(AND(ISNUMBER(K183),K183&gt;0,ISNUMBER(P183),P183&gt;0),MIN(1,K183/P183),"")</x:f>
        <x:v>1</x:v>
      </x:c>
      <x:c r="S183" s="2895" t="n">
        <x:f>IF(AND(ISNUMBER(K183),K183&gt;0,ISNUMBER(Q183),Q183&gt;0),MIN(1,K183/Q183),"")</x:f>
        <x:v>1</x:v>
      </x:c>
      <x:c r="T183" s="2895" t="n">
        <x:f>IF(AND(ISNUMBER(R183),ISNUMBER(S183)),MIN(R183,S183),"")</x:f>
        <x:v>1</x:v>
      </x:c>
      <x:c r="U183" s="2897" t="n">
        <x:f>IF(AND(ISNUMBER(M183),ISNUMBER(T183)),(M183-T183)*100,"")</x:f>
        <x:v>-58.099999999999994</x:v>
      </x:c>
      <x:c r="V183" s="2976" t="inlineStr">
        <x:is>
          <x:t xml:space="preserve">—</x:t>
        </x:is>
      </x:c>
      <x:c r="W183" s="2895" t="n"/>
      <x:c r="X183" s="2895" t="n"/>
      <x:c r="Y183" s="2958" t="n"/>
      <x:c r="Z183" s="2895" t="n"/>
      <x:c r="AA183" s="2936" t="inlineStr">
        <x:is>
          <x:t xml:space="preserve">COMPILE_FAIL</x:t>
        </x:is>
      </x:c>
      <x:c r="AB183" s="2935" t="inlineStr">
        <x:is>
          <x:t xml:space="preserve">PASS</x:t>
        </x:is>
      </x:c>
      <x:c r="AC183" s="2905" t="inlineStr">
        <x:is>
          <x:t xml:space="preserve">本轮 model-main ae058a98 + 6参数(无SoC带宽/延迟) 2026-09-26</x:t>
        </x:is>
      </x:c>
    </x:row>
    <x:row r="184" ht="20" customHeight="1">
      <x:c r="A184" s="2943" t="inlineStr">
        <x:is>
          <x:t xml:space="preserve">FP32</x:t>
        </x:is>
      </x:c>
      <x:c r="B184" s="2970" t="n">
        <x:v>64</x:v>
      </x:c>
      <x:c r="C184" s="2970" t="n">
        <x:v>128</x:v>
      </x:c>
      <x:c r="D184" s="2970" t="n">
        <x:v>7168</x:v>
      </x:c>
      <x:c r="E184" s="2970" t="n">
        <x:v>128</x:v>
      </x:c>
      <x:c r="F184" s="2970" t="n">
        <x:v>128</x:v>
      </x:c>
      <x:c r="G184" s="2970" t="n">
        <x:v>128</x:v>
      </x:c>
      <x:c r="H184" s="2971" t="n">
        <x:v>64</x:v>
      </x:c>
      <x:c r="I184" s="2971" t="n">
        <x:v>64</x:v>
      </x:c>
      <x:c r="J184" s="2971" t="n">
        <x:v>128</x:v>
      </x:c>
      <x:c r="K184" s="2972" t="n">
        <x:v>128</x:v>
      </x:c>
      <x:c r="L184" s="2970" t="n">
        <x:v>69078</x:v>
      </x:c>
      <x:c r="M184" s="2947" t="n">
        <x:f>IF(AND(ISNUMBER(L184),L184&gt;0),ROUND(B184*C184*D184/2048/L184*100,1)/100,"")</x:f>
        <x:v>0.415</x:v>
      </x:c>
      <x:c r="N184" s="2970" t="n">
        <x:f>IF(OR(B184="",C184="",D184="",E184="",F184="",G184=""),"",ROUNDUP(B184/MIN(E184,128),0)*(C184/F184)*(D184/G184)*((MIN(B184,MIN(E184,128))+F184)*G184*4/1024))</x:f>
        <x:v>5376</x:v>
      </x:c>
      <x:c r="O184" s="2948" t="n">
        <x:f>IF(AND(ISNUMBER(N184),ISNUMBER(K184),K184&gt;0),N184*1024/K184,"")</x:f>
        <x:v>43008</x:v>
      </x:c>
      <x:c r="P184" s="2949" t="n">
        <x:f>IF(OR(E184="",F184="",G184=""),"",((H184+I184)*1024)/(E184*F184*G184/2048))</x:f>
        <x:v>128</x:v>
      </x:c>
      <x:c r="Q184" s="2949" t="n">
        <x:f>IF(OR(E184="",F184="",G184=""),"",(E184*F184*4)/(E184*F184*G184/2048))</x:f>
        <x:v>64</x:v>
      </x:c>
      <x:c r="R184" s="2947" t="n">
        <x:f>IF(AND(ISNUMBER(K184),K184&gt;0,ISNUMBER(P184),P184&gt;0),MIN(1,K184/P184),"")</x:f>
        <x:v>1</x:v>
      </x:c>
      <x:c r="S184" s="2947" t="n">
        <x:f>IF(AND(ISNUMBER(K184),K184&gt;0,ISNUMBER(Q184),Q184&gt;0),MIN(1,K184/Q184),"")</x:f>
        <x:v>1</x:v>
      </x:c>
      <x:c r="T184" s="2947" t="n">
        <x:f>IF(AND(ISNUMBER(R184),ISNUMBER(S184)),MIN(R184,S184),"")</x:f>
        <x:v>1</x:v>
      </x:c>
      <x:c r="U184" s="2949" t="n">
        <x:f>IF(AND(ISNUMBER(M184),ISNUMBER(T184)),(M184-T184)*100,"")</x:f>
        <x:v>-58.5</x:v>
      </x:c>
      <x:c r="V184" s="2970" t="n">
        <x:v>52070</x:v>
      </x:c>
      <x:c r="W184" s="2947" t="n">
        <x:v>0.551</x:v>
      </x:c>
      <x:c r="X184" s="2947" t="n">
        <x:f>IF(AND(ISNUMBER(L184),ISNUMBER(V184),L184&gt;0,V184&gt;0),(L184-V184)/L184,"")</x:f>
        <x:v>0.24621442427400908</x:v>
      </x:c>
      <x:c r="Y184" s="2956" t="n">
        <x:f>IF(AND(ISNUMBER(L184),ISNUMBER(V184),L184&gt;0,V184&gt;0),L184/V184,"")</x:f>
        <x:v>1.3266372191280968</x:v>
      </x:c>
      <x:c r="Z184" s="2947" t="n">
        <x:f>IF(AND(ISNUMBER(C184),ISNUMBER(F184),C184&gt;0,F184&gt;0),1-F184/C184,"")</x:f>
        <x:v>0</x:v>
      </x:c>
      <x:c r="AA184" s="2951" t="inlineStr">
        <x:is>
          <x:t xml:space="preserve">PASS</x:t>
        </x:is>
      </x:c>
      <x:c r="AB184" s="2951" t="inlineStr">
        <x:is>
          <x:t xml:space="preserve">PASS</x:t>
        </x:is>
      </x:c>
      <x:c r="AC184" s="2952" t="inlineStr">
        <x:is>
          <x:t xml:space="preserve">本轮 model-main ae058a98 + 6参数(无SoC带宽/延迟) 2026-09-26</x:t>
        </x:is>
      </x:c>
    </x:row>
    <x:row r="185" ht="20" customHeight="1">
      <x:c r="A185" s="2891" t="inlineStr">
        <x:is>
          <x:t xml:space="preserve">FP32</x:t>
        </x:is>
      </x:c>
      <x:c r="B185" s="2976" t="n">
        <x:v>64</x:v>
      </x:c>
      <x:c r="C185" s="2976" t="n">
        <x:v>128</x:v>
      </x:c>
      <x:c r="D185" s="2976" t="n">
        <x:v>7168</x:v>
      </x:c>
      <x:c r="E185" s="2976" t="n">
        <x:v>128</x:v>
      </x:c>
      <x:c r="F185" s="2976" t="n">
        <x:v>128</x:v>
      </x:c>
      <x:c r="G185" s="2976" t="n">
        <x:v>256</x:v>
      </x:c>
      <x:c r="H185" s="2977" t="n">
        <x:v>128</x:v>
      </x:c>
      <x:c r="I185" s="2977" t="n">
        <x:v>128</x:v>
      </x:c>
      <x:c r="J185" s="2977" t="n">
        <x:v>256</x:v>
      </x:c>
      <x:c r="K185" s="2978" t="n">
        <x:v>128</x:v>
      </x:c>
      <x:c r="L185" s="2976" t="n">
        <x:v>121058</x:v>
      </x:c>
      <x:c r="M185" s="2895" t="n">
        <x:f>IF(AND(ISNUMBER(L185),L185&gt;0),ROUND(B185*C185*D185/2048/L185*100,1)/100,"")</x:f>
        <x:v>0.237</x:v>
      </x:c>
      <x:c r="N185" s="2976" t="n">
        <x:f>IF(OR(B185="",C185="",D185="",E185="",F185="",G185=""),"",ROUNDUP(B185/MIN(E185,128),0)*(C185/F185)*(D185/G185)*((MIN(B185,MIN(E185,128))+F185)*G185*4/1024))</x:f>
        <x:v>5376</x:v>
      </x:c>
      <x:c r="O185" s="2896" t="n">
        <x:f>IF(AND(ISNUMBER(N185),ISNUMBER(K185),K185&gt;0),N185*1024/K185,"")</x:f>
        <x:v>43008</x:v>
      </x:c>
      <x:c r="P185" s="2897" t="n">
        <x:f>IF(OR(E185="",F185="",G185=""),"",((H185+I185)*1024)/(E185*F185*G185/2048))</x:f>
        <x:v>128</x:v>
      </x:c>
      <x:c r="Q185" s="2897" t="n">
        <x:f>IF(OR(E185="",F185="",G185=""),"",(E185*F185*4)/(E185*F185*G185/2048))</x:f>
        <x:v>32</x:v>
      </x:c>
      <x:c r="R185" s="2895" t="n">
        <x:f>IF(AND(ISNUMBER(K185),K185&gt;0,ISNUMBER(P185),P185&gt;0),MIN(1,K185/P185),"")</x:f>
        <x:v>1</x:v>
      </x:c>
      <x:c r="S185" s="2895" t="n">
        <x:f>IF(AND(ISNUMBER(K185),K185&gt;0,ISNUMBER(Q185),Q185&gt;0),MIN(1,K185/Q185),"")</x:f>
        <x:v>1</x:v>
      </x:c>
      <x:c r="T185" s="2895" t="n">
        <x:f>IF(AND(ISNUMBER(R185),ISNUMBER(S185)),MIN(R185,S185),"")</x:f>
        <x:v>1</x:v>
      </x:c>
      <x:c r="U185" s="2897" t="n">
        <x:f>IF(AND(ISNUMBER(M185),ISNUMBER(T185)),(M185-T185)*100,"")</x:f>
        <x:v>-76.3</x:v>
      </x:c>
      <x:c r="V185" s="2976" t="inlineStr">
        <x:is>
          <x:t xml:space="preserve">—</x:t>
        </x:is>
      </x:c>
      <x:c r="W185" s="2895" t="n"/>
      <x:c r="X185" s="2895" t="n"/>
      <x:c r="Y185" s="2958" t="n"/>
      <x:c r="Z185" s="2895" t="n"/>
      <x:c r="AA185" s="2936" t="inlineStr">
        <x:is>
          <x:t xml:space="preserve">ASSERT_FAIL</x:t>
        </x:is>
      </x:c>
      <x:c r="AB185" s="2935" t="inlineStr">
        <x:is>
          <x:t xml:space="preserve">PASS</x:t>
        </x:is>
      </x:c>
      <x:c r="AC185" s="2905" t="inlineStr">
        <x:is>
          <x:t xml:space="preserve">本轮 model-main ae058a98 + 6参数(无SoC带宽/延迟) 2026-09-26</x:t>
        </x:is>
      </x:c>
    </x:row>
    <x:row r="186" ht="20" customHeight="1">
      <x:c r="A186" s="2891" t="inlineStr">
        <x:is>
          <x:t xml:space="preserve">FP32</x:t>
        </x:is>
      </x:c>
      <x:c r="B186" s="2976" t="n">
        <x:v>64</x:v>
      </x:c>
      <x:c r="C186" s="2976" t="n">
        <x:v>128</x:v>
      </x:c>
      <x:c r="D186" s="2976" t="n">
        <x:v>7168</x:v>
      </x:c>
      <x:c r="E186" s="2976" t="n">
        <x:v>128</x:v>
      </x:c>
      <x:c r="F186" s="2976" t="n">
        <x:v>128</x:v>
      </x:c>
      <x:c r="G186" s="2976" t="n">
        <x:v>512</x:v>
      </x:c>
      <x:c r="H186" s="2977" t="n">
        <x:v>256</x:v>
      </x:c>
      <x:c r="I186" s="2977" t="n">
        <x:v>256</x:v>
      </x:c>
      <x:c r="J186" s="2977" t="n">
        <x:v>512</x:v>
      </x:c>
      <x:c r="K186" s="2978" t="n">
        <x:v>128</x:v>
      </x:c>
      <x:c r="L186" s="2976" t="inlineStr">
        <x:is>
          <x:t xml:space="preserve">—</x:t>
        </x:is>
      </x:c>
      <x:c r="M186" s="2895" t="str">
        <x:f>IF(AND(ISNUMBER(L186),L186&gt;0),ROUND(B186*C186*D186/2048/L186*100,1)/100,"")</x:f>
      </x:c>
      <x:c r="N186" s="2976" t="n">
        <x:f>IF(OR(B186="",C186="",D186="",E186="",F186="",G186=""),"",ROUNDUP(B186/MIN(E186,128),0)*(C186/F186)*(D186/G186)*((MIN(B186,MIN(E186,128))+F186)*G186*4/1024))</x:f>
        <x:v>5376</x:v>
      </x:c>
      <x:c r="O186" s="2896" t="n">
        <x:f>IF(AND(ISNUMBER(N186),ISNUMBER(K186),K186&gt;0),N186*1024/K186,"")</x:f>
        <x:v>43008</x:v>
      </x:c>
      <x:c r="P186" s="2897" t="n">
        <x:f>IF(OR(E186="",F186="",G186=""),"",((H186+I186)*1024)/(E186*F186*G186/2048))</x:f>
        <x:v>128</x:v>
      </x:c>
      <x:c r="Q186" s="2897" t="n">
        <x:f>IF(OR(E186="",F186="",G186=""),"",(E186*F186*4)/(E186*F186*G186/2048))</x:f>
        <x:v>16</x:v>
      </x:c>
      <x:c r="R186" s="2895" t="n">
        <x:f>IF(AND(ISNUMBER(K186),K186&gt;0,ISNUMBER(P186),P186&gt;0),MIN(1,K186/P186),"")</x:f>
        <x:v>1</x:v>
      </x:c>
      <x:c r="S186" s="2895" t="n">
        <x:f>IF(AND(ISNUMBER(K186),K186&gt;0,ISNUMBER(Q186),Q186&gt;0),MIN(1,K186/Q186),"")</x:f>
        <x:v>1</x:v>
      </x:c>
      <x:c r="T186" s="2895" t="n">
        <x:f>IF(AND(ISNUMBER(R186),ISNUMBER(S186)),MIN(R186,S186),"")</x:f>
        <x:v>1</x:v>
      </x:c>
      <x:c r="U186" s="2897" t="str">
        <x:f>IF(AND(ISNUMBER(M186),ISNUMBER(T186)),(M186-T186)*100,"")</x:f>
      </x:c>
      <x:c r="V186" s="2976" t="inlineStr">
        <x:is>
          <x:t xml:space="preserve">—</x:t>
        </x:is>
      </x:c>
      <x:c r="W186" s="2895" t="n"/>
      <x:c r="X186" s="2895" t="n"/>
      <x:c r="Y186" s="2958" t="n"/>
      <x:c r="Z186" s="2895" t="n"/>
      <x:c r="AA186" s="2936" t="inlineStr">
        <x:is>
          <x:t xml:space="preserve">ASSERT_FAIL</x:t>
        </x:is>
      </x:c>
      <x:c r="AB186" s="2936" t="inlineStr">
        <x:is>
          <x:t xml:space="preserve">COMPILE_FAIL</x:t>
        </x:is>
      </x:c>
      <x:c r="AC186" s="2905" t="inlineStr">
        <x:is>
          <x:t xml:space="preserve">容量超限：完整 SharedTile 足迹 &gt; 256 KiB；本轮 model-main 9b3a4405 + 8参数(256KB ShareTReg) 2026-09-22</x:t>
        </x:is>
      </x:c>
    </x:row>
    <x:row r="187" ht="20" customHeight="1">
      <x:c r="A187" s="2822" t="inlineStr">
        <x:is>
          <x:t xml:space="preserve">BF16</x:t>
        </x:is>
      </x:c>
      <x:c r="B187" s="2964" t="n"/>
      <x:c r="C187" s="2964" t="n"/>
      <x:c r="D187" s="2964" t="n"/>
      <x:c r="E187" s="2964" t="n"/>
      <x:c r="F187" s="2964" t="n"/>
      <x:c r="G187" s="2964" t="n"/>
      <x:c r="H187" s="2965" t="n"/>
      <x:c r="I187" s="2965" t="n"/>
      <x:c r="J187" s="2965" t="n"/>
      <x:c r="K187" s="2966"/>
      <x:c r="L187" s="2964" t="n"/>
      <x:c r="M187" s="2826" t="str"/>
      <x:c r="N187" s="2964" t="str"/>
      <x:c r="O187" s="2827" t="str"/>
      <x:c r="P187" s="2828" t="str"/>
      <x:c r="Q187" s="2828" t="str"/>
      <x:c r="R187" s="2826" t="str"/>
      <x:c r="S187" s="2826" t="str"/>
      <x:c r="T187" s="2826" t="str"/>
      <x:c r="U187" s="2828" t="str"/>
      <x:c r="V187" s="2964" t="n"/>
      <x:c r="W187" s="2826" t="n"/>
      <x:c r="X187" s="2826" t="n"/>
      <x:c r="Y187" s="2954" t="n"/>
      <x:c r="Z187" s="2826" t="n"/>
      <x:c r="AA187" s="2822" t="n"/>
      <x:c r="AB187" s="2822" t="n"/>
      <x:c r="AC187" s="2822" t="n"/>
    </x:row>
    <x:row r="188" ht="20" customHeight="1">
      <x:c r="A188" s="2916" t="inlineStr">
        <x:is>
          <x:t xml:space="preserve">BF16</x:t>
        </x:is>
      </x:c>
      <x:c r="B188" s="2979" t="n">
        <x:v>64</x:v>
      </x:c>
      <x:c r="C188" s="2979" t="n">
        <x:v>128</x:v>
      </x:c>
      <x:c r="D188" s="2979" t="n">
        <x:v>7168</x:v>
      </x:c>
      <x:c r="E188" s="2979" t="n">
        <x:v>128</x:v>
      </x:c>
      <x:c r="F188" s="2979" t="n">
        <x:v>64</x:v>
      </x:c>
      <x:c r="G188" s="2979" t="n">
        <x:v>64</x:v>
      </x:c>
      <x:c r="H188" s="2980" t="n">
        <x:v>16</x:v>
      </x:c>
      <x:c r="I188" s="2980" t="n">
        <x:v>8</x:v>
      </x:c>
      <x:c r="J188" s="2980" t="n">
        <x:v>24</x:v>
      </x:c>
      <x:c r="K188" s="2981" t="n">
        <x:v>128</x:v>
      </x:c>
      <x:c r="L188" s="2979" t="n">
        <x:v>46101</x:v>
      </x:c>
      <x:c r="M188" s="2920" t="n">
        <x:f>IF(AND(ISNUMBER(L188),L188&gt;0),ROUND(B188*C188*D188/4096/L188*100,1)/100,"")</x:f>
        <x:v>0.311</x:v>
      </x:c>
      <x:c r="N188" s="2979" t="n">
        <x:f>IF(OR(B188="",C188="",D188="",E188="",F188="",G188=""),"",ROUNDUP(B188/MIN(E188,128),0)*(C188/F188)*(D188/G188)*((MIN(B188,MIN(E188,128))+F188)*G188*2/1024))</x:f>
        <x:v>3584</x:v>
      </x:c>
      <x:c r="O188" s="2921" t="n">
        <x:f>IF(AND(ISNUMBER(N188),ISNUMBER(K188),K188&gt;0),N188*1024/K188,"")</x:f>
        <x:v>28672</x:v>
      </x:c>
      <x:c r="P188" s="2922" t="n">
        <x:f>IF(OR(E188="",F188="",G188=""),"",((H188+I188)*1024)/(E188*F188*G188/4096))</x:f>
        <x:v>192</x:v>
      </x:c>
      <x:c r="Q188" s="2922" t="n">
        <x:f>IF(OR(E188="",F188="",G188=""),"",(E188*F188*4)/(E188*F188*G188/4096))</x:f>
        <x:v>256</x:v>
      </x:c>
      <x:c r="R188" s="2920" t="n">
        <x:f>IF(AND(ISNUMBER(K188),K188&gt;0,ISNUMBER(P188),P188&gt;0),MIN(1,K188/P188),"")</x:f>
        <x:v>0.6666666666666666</x:v>
      </x:c>
      <x:c r="S188" s="2920" t="n">
        <x:f>IF(AND(ISNUMBER(K188),K188&gt;0,ISNUMBER(Q188),Q188&gt;0),MIN(1,K188/Q188),"")</x:f>
        <x:v>0.5</x:v>
      </x:c>
      <x:c r="T188" s="2920" t="n">
        <x:f>IF(AND(ISNUMBER(R188),ISNUMBER(S188)),MIN(R188,S188),"")</x:f>
        <x:v>0.5</x:v>
      </x:c>
      <x:c r="U188" s="2922" t="n">
        <x:f>IF(AND(ISNUMBER(M188),ISNUMBER(T188)),(M188-T188)*100,"")</x:f>
        <x:v>-18.9</x:v>
      </x:c>
      <x:c r="V188" s="2979" t="inlineStr">
        <x:is>
          <x:t xml:space="preserve">—</x:t>
        </x:is>
      </x:c>
      <x:c r="W188" s="2920" t="n"/>
      <x:c r="X188" s="2920" t="n"/>
      <x:c r="Y188" s="2959" t="n"/>
      <x:c r="Z188" s="2920" t="n"/>
      <x:c r="AA188" s="2939" t="inlineStr">
        <x:is>
          <x:t xml:space="preserve">COMPILE_FAIL</x:t>
        </x:is>
      </x:c>
      <x:c r="AB188" s="2938" t="inlineStr">
        <x:is>
          <x:t xml:space="preserve">PASS</x:t>
        </x:is>
      </x:c>
      <x:c r="AC188" s="2930" t="inlineStr">
        <x:is>
          <x:t xml:space="preserve">本轮 model-main ae058a98 + 6参数(无SoC带宽/延迟) 2026-09-26</x:t>
        </x:is>
      </x:c>
    </x:row>
    <x:row r="189" ht="20" customHeight="1">
      <x:c r="A189" s="2916" t="inlineStr">
        <x:is>
          <x:t xml:space="preserve">BF16</x:t>
        </x:is>
      </x:c>
      <x:c r="B189" s="2979" t="n">
        <x:v>64</x:v>
      </x:c>
      <x:c r="C189" s="2979" t="n">
        <x:v>128</x:v>
      </x:c>
      <x:c r="D189" s="2979" t="n">
        <x:v>7168</x:v>
      </x:c>
      <x:c r="E189" s="2979" t="n">
        <x:v>128</x:v>
      </x:c>
      <x:c r="F189" s="2979" t="n">
        <x:v>64</x:v>
      </x:c>
      <x:c r="G189" s="2979" t="n">
        <x:v>128</x:v>
      </x:c>
      <x:c r="H189" s="2980" t="n">
        <x:v>32</x:v>
      </x:c>
      <x:c r="I189" s="2980" t="n">
        <x:v>16</x:v>
      </x:c>
      <x:c r="J189" s="2980" t="n">
        <x:v>48</x:v>
      </x:c>
      <x:c r="K189" s="2981" t="n">
        <x:v>128</x:v>
      </x:c>
      <x:c r="L189" s="2979" t="n">
        <x:v>46225</x:v>
      </x:c>
      <x:c r="M189" s="2920" t="n">
        <x:f>IF(AND(ISNUMBER(L189),L189&gt;0),ROUND(B189*C189*D189/4096/L189*100,1)/100,"")</x:f>
        <x:v>0.31</x:v>
      </x:c>
      <x:c r="N189" s="2979" t="n">
        <x:f>IF(OR(B189="",C189="",D189="",E189="",F189="",G189=""),"",ROUNDUP(B189/MIN(E189,128),0)*(C189/F189)*(D189/G189)*((MIN(B189,MIN(E189,128))+F189)*G189*2/1024))</x:f>
        <x:v>3584</x:v>
      </x:c>
      <x:c r="O189" s="2921" t="n">
        <x:f>IF(AND(ISNUMBER(N189),ISNUMBER(K189),K189&gt;0),N189*1024/K189,"")</x:f>
        <x:v>28672</x:v>
      </x:c>
      <x:c r="P189" s="2922" t="n">
        <x:f>IF(OR(E189="",F189="",G189=""),"",((H189+I189)*1024)/(E189*F189*G189/4096))</x:f>
        <x:v>192</x:v>
      </x:c>
      <x:c r="Q189" s="2922" t="n">
        <x:f>IF(OR(E189="",F189="",G189=""),"",(E189*F189*4)/(E189*F189*G189/4096))</x:f>
        <x:v>128</x:v>
      </x:c>
      <x:c r="R189" s="2920" t="n">
        <x:f>IF(AND(ISNUMBER(K189),K189&gt;0,ISNUMBER(P189),P189&gt;0),MIN(1,K189/P189),"")</x:f>
        <x:v>0.6666666666666666</x:v>
      </x:c>
      <x:c r="S189" s="2920" t="n">
        <x:f>IF(AND(ISNUMBER(K189),K189&gt;0,ISNUMBER(Q189),Q189&gt;0),MIN(1,K189/Q189),"")</x:f>
        <x:v>1</x:v>
      </x:c>
      <x:c r="T189" s="2920" t="n">
        <x:f>IF(AND(ISNUMBER(R189),ISNUMBER(S189)),MIN(R189,S189),"")</x:f>
        <x:v>0.6666666666666666</x:v>
      </x:c>
      <x:c r="U189" s="2922" t="n">
        <x:f>IF(AND(ISNUMBER(M189),ISNUMBER(T189)),(M189-T189)*100,"")</x:f>
        <x:v>-35.666666666666664</x:v>
      </x:c>
      <x:c r="V189" s="2979" t="inlineStr">
        <x:is>
          <x:t xml:space="preserve">—</x:t>
        </x:is>
      </x:c>
      <x:c r="W189" s="2920" t="n"/>
      <x:c r="X189" s="2920" t="n"/>
      <x:c r="Y189" s="2959" t="n"/>
      <x:c r="Z189" s="2920" t="n"/>
      <x:c r="AA189" s="2939" t="inlineStr">
        <x:is>
          <x:t xml:space="preserve">ASSERT_FAIL</x:t>
        </x:is>
      </x:c>
      <x:c r="AB189" s="2938" t="inlineStr">
        <x:is>
          <x:t xml:space="preserve">PASS</x:t>
        </x:is>
      </x:c>
      <x:c r="AC189" s="2930" t="inlineStr">
        <x:is>
          <x:t xml:space="preserve">本轮 model-main ae058a98 + 6参数(无SoC带宽/延迟) 2026-09-26</x:t>
        </x:is>
      </x:c>
    </x:row>
    <x:row r="190" ht="20" customHeight="1">
      <x:c r="A190" s="2916" t="inlineStr">
        <x:is>
          <x:t xml:space="preserve">BF16</x:t>
        </x:is>
      </x:c>
      <x:c r="B190" s="2979" t="n">
        <x:v>64</x:v>
      </x:c>
      <x:c r="C190" s="2979" t="n">
        <x:v>128</x:v>
      </x:c>
      <x:c r="D190" s="2979" t="n">
        <x:v>7168</x:v>
      </x:c>
      <x:c r="E190" s="2979" t="n">
        <x:v>128</x:v>
      </x:c>
      <x:c r="F190" s="2979" t="n">
        <x:v>64</x:v>
      </x:c>
      <x:c r="G190" s="2979" t="n">
        <x:v>256</x:v>
      </x:c>
      <x:c r="H190" s="2980" t="n">
        <x:v>64</x:v>
      </x:c>
      <x:c r="I190" s="2980" t="n">
        <x:v>32</x:v>
      </x:c>
      <x:c r="J190" s="2980" t="n">
        <x:v>96</x:v>
      </x:c>
      <x:c r="K190" s="2981" t="n">
        <x:v>128</x:v>
      </x:c>
      <x:c r="L190" s="2979" t="n">
        <x:v>46347</x:v>
      </x:c>
      <x:c r="M190" s="2920" t="n">
        <x:f>IF(AND(ISNUMBER(L190),L190&gt;0),ROUND(B190*C190*D190/4096/L190*100,1)/100,"")</x:f>
        <x:v>0.309</x:v>
      </x:c>
      <x:c r="N190" s="2979" t="n">
        <x:f>IF(OR(B190="",C190="",D190="",E190="",F190="",G190=""),"",ROUNDUP(B190/MIN(E190,128),0)*(C190/F190)*(D190/G190)*((MIN(B190,MIN(E190,128))+F190)*G190*2/1024))</x:f>
        <x:v>3584</x:v>
      </x:c>
      <x:c r="O190" s="2921" t="n">
        <x:f>IF(AND(ISNUMBER(N190),ISNUMBER(K190),K190&gt;0),N190*1024/K190,"")</x:f>
        <x:v>28672</x:v>
      </x:c>
      <x:c r="P190" s="2922" t="n">
        <x:f>IF(OR(E190="",F190="",G190=""),"",((H190+I190)*1024)/(E190*F190*G190/4096))</x:f>
        <x:v>192</x:v>
      </x:c>
      <x:c r="Q190" s="2922" t="n">
        <x:f>IF(OR(E190="",F190="",G190=""),"",(E190*F190*4)/(E190*F190*G190/4096))</x:f>
        <x:v>64</x:v>
      </x:c>
      <x:c r="R190" s="2920" t="n">
        <x:f>IF(AND(ISNUMBER(K190),K190&gt;0,ISNUMBER(P190),P190&gt;0),MIN(1,K190/P190),"")</x:f>
        <x:v>0.6666666666666666</x:v>
      </x:c>
      <x:c r="S190" s="2920" t="n">
        <x:f>IF(AND(ISNUMBER(K190),K190&gt;0,ISNUMBER(Q190),Q190&gt;0),MIN(1,K190/Q190),"")</x:f>
        <x:v>1</x:v>
      </x:c>
      <x:c r="T190" s="2920" t="n">
        <x:f>IF(AND(ISNUMBER(R190),ISNUMBER(S190)),MIN(R190,S190),"")</x:f>
        <x:v>0.6666666666666666</x:v>
      </x:c>
      <x:c r="U190" s="2922" t="n">
        <x:f>IF(AND(ISNUMBER(M190),ISNUMBER(T190)),(M190-T190)*100,"")</x:f>
        <x:v>-35.766666666666666</x:v>
      </x:c>
      <x:c r="V190" s="2979" t="inlineStr">
        <x:is>
          <x:t xml:space="preserve">—</x:t>
        </x:is>
      </x:c>
      <x:c r="W190" s="2920" t="n"/>
      <x:c r="X190" s="2920" t="n"/>
      <x:c r="Y190" s="2959" t="n"/>
      <x:c r="Z190" s="2920" t="n"/>
      <x:c r="AA190" s="2939" t="inlineStr">
        <x:is>
          <x:t xml:space="preserve">ASSERT_FAIL</x:t>
        </x:is>
      </x:c>
      <x:c r="AB190" s="2938" t="inlineStr">
        <x:is>
          <x:t xml:space="preserve">PASS</x:t>
        </x:is>
      </x:c>
      <x:c r="AC190" s="2930" t="inlineStr">
        <x:is>
          <x:t xml:space="preserve">本轮 model-main ae058a98 + 6参数(无SoC带宽/延迟) 2026-09-26</x:t>
        </x:is>
      </x:c>
    </x:row>
    <x:row r="191" ht="20" customHeight="1">
      <x:c r="A191" s="2916" t="inlineStr">
        <x:is>
          <x:t xml:space="preserve">BF16</x:t>
        </x:is>
      </x:c>
      <x:c r="B191" s="2979" t="n">
        <x:v>64</x:v>
      </x:c>
      <x:c r="C191" s="2979" t="n">
        <x:v>128</x:v>
      </x:c>
      <x:c r="D191" s="2979" t="n">
        <x:v>7168</x:v>
      </x:c>
      <x:c r="E191" s="2979" t="n">
        <x:v>128</x:v>
      </x:c>
      <x:c r="F191" s="2979" t="n">
        <x:v>64</x:v>
      </x:c>
      <x:c r="G191" s="2979" t="n">
        <x:v>512</x:v>
      </x:c>
      <x:c r="H191" s="2980" t="n">
        <x:v>128</x:v>
      </x:c>
      <x:c r="I191" s="2980" t="n">
        <x:v>64</x:v>
      </x:c>
      <x:c r="J191" s="2980" t="n">
        <x:v>192</x:v>
      </x:c>
      <x:c r="K191" s="2981" t="n">
        <x:v>128</x:v>
      </x:c>
      <x:c r="L191" s="2979" t="n">
        <x:v>84411</x:v>
      </x:c>
      <x:c r="M191" s="2920" t="n">
        <x:f>IF(AND(ISNUMBER(L191),L191&gt;0),ROUND(B191*C191*D191/4096/L191*100,1)/100,"")</x:f>
        <x:v>0.17</x:v>
      </x:c>
      <x:c r="N191" s="2979" t="n">
        <x:f>IF(OR(B191="",C191="",D191="",E191="",F191="",G191=""),"",ROUNDUP(B191/MIN(E191,128),0)*(C191/F191)*(D191/G191)*((MIN(B191,MIN(E191,128))+F191)*G191*2/1024))</x:f>
        <x:v>3584</x:v>
      </x:c>
      <x:c r="O191" s="2921" t="n">
        <x:f>IF(AND(ISNUMBER(N191),ISNUMBER(K191),K191&gt;0),N191*1024/K191,"")</x:f>
        <x:v>28672</x:v>
      </x:c>
      <x:c r="P191" s="2922" t="n">
        <x:f>IF(OR(E191="",F191="",G191=""),"",((H191+I191)*1024)/(E191*F191*G191/4096))</x:f>
        <x:v>192</x:v>
      </x:c>
      <x:c r="Q191" s="2922" t="n">
        <x:f>IF(OR(E191="",F191="",G191=""),"",(E191*F191*4)/(E191*F191*G191/4096))</x:f>
        <x:v>32</x:v>
      </x:c>
      <x:c r="R191" s="2920" t="n">
        <x:f>IF(AND(ISNUMBER(K191),K191&gt;0,ISNUMBER(P191),P191&gt;0),MIN(1,K191/P191),"")</x:f>
        <x:v>0.6666666666666666</x:v>
      </x:c>
      <x:c r="S191" s="2920" t="n">
        <x:f>IF(AND(ISNUMBER(K191),K191&gt;0,ISNUMBER(Q191),Q191&gt;0),MIN(1,K191/Q191),"")</x:f>
        <x:v>1</x:v>
      </x:c>
      <x:c r="T191" s="2920" t="n">
        <x:f>IF(AND(ISNUMBER(R191),ISNUMBER(S191)),MIN(R191,S191),"")</x:f>
        <x:v>0.6666666666666666</x:v>
      </x:c>
      <x:c r="U191" s="2922" t="n">
        <x:f>IF(AND(ISNUMBER(M191),ISNUMBER(T191)),(M191-T191)*100,"")</x:f>
        <x:v>-49.66666666666666</x:v>
      </x:c>
      <x:c r="V191" s="2979" t="inlineStr">
        <x:is>
          <x:t xml:space="preserve">—</x:t>
        </x:is>
      </x:c>
      <x:c r="W191" s="2920" t="n"/>
      <x:c r="X191" s="2920" t="n"/>
      <x:c r="Y191" s="2959" t="n"/>
      <x:c r="Z191" s="2920" t="n"/>
      <x:c r="AA191" s="2939" t="inlineStr">
        <x:is>
          <x:t xml:space="preserve">ASSERT_FAIL</x:t>
        </x:is>
      </x:c>
      <x:c r="AB191" s="2938" t="inlineStr">
        <x:is>
          <x:t xml:space="preserve">PASS</x:t>
        </x:is>
      </x:c>
      <x:c r="AC191" s="2930" t="inlineStr">
        <x:is>
          <x:t xml:space="preserve">本轮 model-main ae058a98 + 6参数(无SoC带宽/延迟) 2026-09-26</x:t>
        </x:is>
      </x:c>
    </x:row>
    <x:row r="192" ht="20" customHeight="1">
      <x:c r="A192" s="2916" t="inlineStr">
        <x:is>
          <x:t xml:space="preserve">BF16</x:t>
        </x:is>
      </x:c>
      <x:c r="B192" s="2979" t="n">
        <x:v>64</x:v>
      </x:c>
      <x:c r="C192" s="2979" t="n">
        <x:v>128</x:v>
      </x:c>
      <x:c r="D192" s="2979" t="n">
        <x:v>7168</x:v>
      </x:c>
      <x:c r="E192" s="2979" t="n">
        <x:v>128</x:v>
      </x:c>
      <x:c r="F192" s="2979" t="n">
        <x:v>128</x:v>
      </x:c>
      <x:c r="G192" s="2979" t="n">
        <x:v>64</x:v>
      </x:c>
      <x:c r="H192" s="2980" t="n">
        <x:v>16</x:v>
      </x:c>
      <x:c r="I192" s="2980" t="n">
        <x:v>16</x:v>
      </x:c>
      <x:c r="J192" s="2980" t="n">
        <x:v>32</x:v>
      </x:c>
      <x:c r="K192" s="2981" t="n">
        <x:v>128</x:v>
      </x:c>
      <x:c r="L192" s="2979" t="n">
        <x:v>34919</x:v>
      </x:c>
      <x:c r="M192" s="2920" t="n">
        <x:f>IF(AND(ISNUMBER(L192),L192&gt;0),ROUND(B192*C192*D192/4096/L192*100,1)/100,"")</x:f>
        <x:v>0.41100000000000003</x:v>
      </x:c>
      <x:c r="N192" s="2979" t="n">
        <x:f>IF(OR(B192="",C192="",D192="",E192="",F192="",G192=""),"",ROUNDUP(B192/MIN(E192,128),0)*(C192/F192)*(D192/G192)*((MIN(B192,MIN(E192,128))+F192)*G192*2/1024))</x:f>
        <x:v>2688</x:v>
      </x:c>
      <x:c r="O192" s="2921" t="n">
        <x:f>IF(AND(ISNUMBER(N192),ISNUMBER(K192),K192&gt;0),N192*1024/K192,"")</x:f>
        <x:v>21504</x:v>
      </x:c>
      <x:c r="P192" s="2922" t="n">
        <x:f>IF(OR(E192="",F192="",G192=""),"",((H192+I192)*1024)/(E192*F192*G192/4096))</x:f>
        <x:v>128</x:v>
      </x:c>
      <x:c r="Q192" s="2922" t="n">
        <x:f>IF(OR(E192="",F192="",G192=""),"",(E192*F192*4)/(E192*F192*G192/4096))</x:f>
        <x:v>256</x:v>
      </x:c>
      <x:c r="R192" s="2920" t="n">
        <x:f>IF(AND(ISNUMBER(K192),K192&gt;0,ISNUMBER(P192),P192&gt;0),MIN(1,K192/P192),"")</x:f>
        <x:v>1</x:v>
      </x:c>
      <x:c r="S192" s="2920" t="n">
        <x:f>IF(AND(ISNUMBER(K192),K192&gt;0,ISNUMBER(Q192),Q192&gt;0),MIN(1,K192/Q192),"")</x:f>
        <x:v>0.5</x:v>
      </x:c>
      <x:c r="T192" s="2920" t="n">
        <x:f>IF(AND(ISNUMBER(R192),ISNUMBER(S192)),MIN(R192,S192),"")</x:f>
        <x:v>0.5</x:v>
      </x:c>
      <x:c r="U192" s="2922" t="n">
        <x:f>IF(AND(ISNUMBER(M192),ISNUMBER(T192)),(M192-T192)*100,"")</x:f>
        <x:v>-8.899999999999997</x:v>
      </x:c>
      <x:c r="V192" s="2979" t="inlineStr">
        <x:is>
          <x:t xml:space="preserve">—</x:t>
        </x:is>
      </x:c>
      <x:c r="W192" s="2920" t="n"/>
      <x:c r="X192" s="2920" t="n"/>
      <x:c r="Y192" s="2959" t="n"/>
      <x:c r="Z192" s="2920" t="n"/>
      <x:c r="AA192" s="2939" t="inlineStr">
        <x:is>
          <x:t xml:space="preserve">COMPILE_FAIL</x:t>
        </x:is>
      </x:c>
      <x:c r="AB192" s="2938" t="inlineStr">
        <x:is>
          <x:t xml:space="preserve">PASS</x:t>
        </x:is>
      </x:c>
      <x:c r="AC192" s="2930" t="inlineStr">
        <x:is>
          <x:t xml:space="preserve">本轮 model-main ae058a98 + 6参数(无SoC带宽/延迟) 2026-09-26</x:t>
        </x:is>
      </x:c>
    </x:row>
    <x:row r="193" ht="20" customHeight="1">
      <x:c r="A193" s="2943" t="inlineStr">
        <x:is>
          <x:t xml:space="preserve">BF16</x:t>
        </x:is>
      </x:c>
      <x:c r="B193" s="2970" t="n">
        <x:v>64</x:v>
      </x:c>
      <x:c r="C193" s="2970" t="n">
        <x:v>128</x:v>
      </x:c>
      <x:c r="D193" s="2970" t="n">
        <x:v>7168</x:v>
      </x:c>
      <x:c r="E193" s="2970" t="n">
        <x:v>128</x:v>
      </x:c>
      <x:c r="F193" s="2970" t="n">
        <x:v>128</x:v>
      </x:c>
      <x:c r="G193" s="2970" t="n">
        <x:v>128</x:v>
      </x:c>
      <x:c r="H193" s="2971" t="n">
        <x:v>32</x:v>
      </x:c>
      <x:c r="I193" s="2971" t="n">
        <x:v>32</x:v>
      </x:c>
      <x:c r="J193" s="2971" t="n">
        <x:v>64</x:v>
      </x:c>
      <x:c r="K193" s="2972" t="n">
        <x:v>128</x:v>
      </x:c>
      <x:c r="L193" s="2970" t="n">
        <x:v>35111</x:v>
      </x:c>
      <x:c r="M193" s="2947" t="n">
        <x:f>IF(AND(ISNUMBER(L193),L193&gt;0),ROUND(B193*C193*D193/4096/L193*100,1)/100,"")</x:f>
        <x:v>0.408</x:v>
      </x:c>
      <x:c r="N193" s="2970" t="n">
        <x:f>IF(OR(B193="",C193="",D193="",E193="",F193="",G193=""),"",ROUNDUP(B193/MIN(E193,128),0)*(C193/F193)*(D193/G193)*((MIN(B193,MIN(E193,128))+F193)*G193*2/1024))</x:f>
        <x:v>2688</x:v>
      </x:c>
      <x:c r="O193" s="2948" t="n">
        <x:f>IF(AND(ISNUMBER(N193),ISNUMBER(K193),K193&gt;0),N193*1024/K193,"")</x:f>
        <x:v>21504</x:v>
      </x:c>
      <x:c r="P193" s="2949" t="n">
        <x:f>IF(OR(E193="",F193="",G193=""),"",((H193+I193)*1024)/(E193*F193*G193/4096))</x:f>
        <x:v>128</x:v>
      </x:c>
      <x:c r="Q193" s="2949" t="n">
        <x:f>IF(OR(E193="",F193="",G193=""),"",(E193*F193*4)/(E193*F193*G193/4096))</x:f>
        <x:v>128</x:v>
      </x:c>
      <x:c r="R193" s="2947" t="n">
        <x:f>IF(AND(ISNUMBER(K193),K193&gt;0,ISNUMBER(P193),P193&gt;0),MIN(1,K193/P193),"")</x:f>
        <x:v>1</x:v>
      </x:c>
      <x:c r="S193" s="2947" t="n">
        <x:f>IF(AND(ISNUMBER(K193),K193&gt;0,ISNUMBER(Q193),Q193&gt;0),MIN(1,K193/Q193),"")</x:f>
        <x:v>1</x:v>
      </x:c>
      <x:c r="T193" s="2947" t="n">
        <x:f>IF(AND(ISNUMBER(R193),ISNUMBER(S193)),MIN(R193,S193),"")</x:f>
        <x:v>1</x:v>
      </x:c>
      <x:c r="U193" s="2949" t="n">
        <x:f>IF(AND(ISNUMBER(M193),ISNUMBER(T193)),(M193-T193)*100,"")</x:f>
        <x:v>-59.20000000000001</x:v>
      </x:c>
      <x:c r="V193" s="2970" t="n">
        <x:v>29566</x:v>
      </x:c>
      <x:c r="W193" s="2947" t="n">
        <x:v>0.97</x:v>
      </x:c>
      <x:c r="X193" s="2947" t="n">
        <x:f>IF(AND(ISNUMBER(L193),ISNUMBER(V193),L193&gt;0,V193&gt;0),(L193-V193)/L193,"")</x:f>
        <x:v>0.1579277149611233</x:v>
      </x:c>
      <x:c r="Y193" s="2956" t="n">
        <x:f>IF(AND(ISNUMBER(L193),ISNUMBER(V193),L193&gt;0,V193&gt;0),L193/V193,"")</x:f>
        <x:v>1.1875465061218968</x:v>
      </x:c>
      <x:c r="Z193" s="2947" t="n">
        <x:f>IF(AND(ISNUMBER(C193),ISNUMBER(F193),C193&gt;0,F193&gt;0),1-F193/C193,"")</x:f>
        <x:v>0</x:v>
      </x:c>
      <x:c r="AA193" s="2951" t="inlineStr">
        <x:is>
          <x:t xml:space="preserve">PASS</x:t>
        </x:is>
      </x:c>
      <x:c r="AB193" s="2951" t="inlineStr">
        <x:is>
          <x:t xml:space="preserve">PASS</x:t>
        </x:is>
      </x:c>
      <x:c r="AC193" s="2952" t="inlineStr">
        <x:is>
          <x:t xml:space="preserve">本轮 model-main ae058a98 + 6参数(无SoC带宽/延迟) 2026-09-26</x:t>
        </x:is>
      </x:c>
    </x:row>
    <x:row r="194" ht="20" customHeight="1">
      <x:c r="A194" s="2916" t="inlineStr">
        <x:is>
          <x:t xml:space="preserve">BF16</x:t>
        </x:is>
      </x:c>
      <x:c r="B194" s="2979" t="n">
        <x:v>64</x:v>
      </x:c>
      <x:c r="C194" s="2979" t="n">
        <x:v>128</x:v>
      </x:c>
      <x:c r="D194" s="2979" t="n">
        <x:v>7168</x:v>
      </x:c>
      <x:c r="E194" s="2979" t="n">
        <x:v>128</x:v>
      </x:c>
      <x:c r="F194" s="2979" t="n">
        <x:v>128</x:v>
      </x:c>
      <x:c r="G194" s="2979" t="n">
        <x:v>256</x:v>
      </x:c>
      <x:c r="H194" s="2980" t="n">
        <x:v>64</x:v>
      </x:c>
      <x:c r="I194" s="2980" t="n">
        <x:v>64</x:v>
      </x:c>
      <x:c r="J194" s="2980" t="n">
        <x:v>128</x:v>
      </x:c>
      <x:c r="K194" s="2981" t="n">
        <x:v>128</x:v>
      </x:c>
      <x:c r="L194" s="2979" t="n">
        <x:v>35625</x:v>
      </x:c>
      <x:c r="M194" s="2920" t="n">
        <x:f>IF(AND(ISNUMBER(L194),L194&gt;0),ROUND(B194*C194*D194/4096/L194*100,1)/100,"")</x:f>
        <x:v>0.402</x:v>
      </x:c>
      <x:c r="N194" s="2979" t="n">
        <x:f>IF(OR(B194="",C194="",D194="",E194="",F194="",G194=""),"",ROUNDUP(B194/MIN(E194,128),0)*(C194/F194)*(D194/G194)*((MIN(B194,MIN(E194,128))+F194)*G194*2/1024))</x:f>
        <x:v>2688</x:v>
      </x:c>
      <x:c r="O194" s="2921" t="n">
        <x:f>IF(AND(ISNUMBER(N194),ISNUMBER(K194),K194&gt;0),N194*1024/K194,"")</x:f>
        <x:v>21504</x:v>
      </x:c>
      <x:c r="P194" s="2922" t="n">
        <x:f>IF(OR(E194="",F194="",G194=""),"",((H194+I194)*1024)/(E194*F194*G194/4096))</x:f>
        <x:v>128</x:v>
      </x:c>
      <x:c r="Q194" s="2922" t="n">
        <x:f>IF(OR(E194="",F194="",G194=""),"",(E194*F194*4)/(E194*F194*G194/4096))</x:f>
        <x:v>64</x:v>
      </x:c>
      <x:c r="R194" s="2920" t="n">
        <x:f>IF(AND(ISNUMBER(K194),K194&gt;0,ISNUMBER(P194),P194&gt;0),MIN(1,K194/P194),"")</x:f>
        <x:v>1</x:v>
      </x:c>
      <x:c r="S194" s="2920" t="n">
        <x:f>IF(AND(ISNUMBER(K194),K194&gt;0,ISNUMBER(Q194),Q194&gt;0),MIN(1,K194/Q194),"")</x:f>
        <x:v>1</x:v>
      </x:c>
      <x:c r="T194" s="2920" t="n">
        <x:f>IF(AND(ISNUMBER(R194),ISNUMBER(S194)),MIN(R194,S194),"")</x:f>
        <x:v>1</x:v>
      </x:c>
      <x:c r="U194" s="2922" t="n">
        <x:f>IF(AND(ISNUMBER(M194),ISNUMBER(T194)),(M194-T194)*100,"")</x:f>
        <x:v>-59.8</x:v>
      </x:c>
      <x:c r="V194" s="2979" t="n">
        <x:v>29878</x:v>
      </x:c>
      <x:c r="W194" s="2920" t="n">
        <x:v>0.96</x:v>
      </x:c>
      <x:c r="X194" s="2920" t="n">
        <x:f>IF(AND(ISNUMBER(L194),ISNUMBER(V194),L194&gt;0,V194&gt;0),(L194-V194)/L194,"")</x:f>
        <x:v>0.16131929824561403</x:v>
      </x:c>
      <x:c r="Y194" s="2959" t="n">
        <x:f>IF(AND(ISNUMBER(L194),ISNUMBER(V194),L194&gt;0,V194&gt;0),L194/V194,"")</x:f>
        <x:v>1.1923488854675681</x:v>
      </x:c>
      <x:c r="Z194" s="2920" t="n">
        <x:f>IF(AND(ISNUMBER(C194),ISNUMBER(F194),C194&gt;0,F194&gt;0),1-F194/C194,"")</x:f>
        <x:v>0</x:v>
      </x:c>
      <x:c r="AA194" s="2938" t="inlineStr">
        <x:is>
          <x:t xml:space="preserve">PASS</x:t>
        </x:is>
      </x:c>
      <x:c r="AB194" s="2938" t="inlineStr">
        <x:is>
          <x:t xml:space="preserve">PASS</x:t>
        </x:is>
      </x:c>
      <x:c r="AC194" s="2930" t="inlineStr">
        <x:is>
          <x:t xml:space="preserve">本轮 model-main ae058a98 + 6参数(无SoC带宽/延迟) 2026-09-26</x:t>
        </x:is>
      </x:c>
    </x:row>
    <x:row r="195" ht="20" customHeight="1">
      <x:c r="A195" s="2916" t="inlineStr">
        <x:is>
          <x:t xml:space="preserve">BF16</x:t>
        </x:is>
      </x:c>
      <x:c r="B195" s="2979" t="n">
        <x:v>64</x:v>
      </x:c>
      <x:c r="C195" s="2979" t="n">
        <x:v>128</x:v>
      </x:c>
      <x:c r="D195" s="2979" t="n">
        <x:v>7168</x:v>
      </x:c>
      <x:c r="E195" s="2979" t="n">
        <x:v>128</x:v>
      </x:c>
      <x:c r="F195" s="2979" t="n">
        <x:v>128</x:v>
      </x:c>
      <x:c r="G195" s="2979" t="n">
        <x:v>512</x:v>
      </x:c>
      <x:c r="H195" s="2980" t="n">
        <x:v>128</x:v>
      </x:c>
      <x:c r="I195" s="2980" t="n">
        <x:v>128</x:v>
      </x:c>
      <x:c r="J195" s="2980" t="n">
        <x:v>256</x:v>
      </x:c>
      <x:c r="K195" s="2981" t="n">
        <x:v>128</x:v>
      </x:c>
      <x:c r="L195" s="2979" t="n">
        <x:v>61020</x:v>
      </x:c>
      <x:c r="M195" s="2920" t="n">
        <x:f>IF(AND(ISNUMBER(L195),L195&gt;0),ROUND(B195*C195*D195/4096/L195*100,1)/100,"")</x:f>
        <x:v>0.235</x:v>
      </x:c>
      <x:c r="N195" s="2979" t="n">
        <x:f>IF(OR(B195="",C195="",D195="",E195="",F195="",G195=""),"",ROUNDUP(B195/MIN(E195,128),0)*(C195/F195)*(D195/G195)*((MIN(B195,MIN(E195,128))+F195)*G195*2/1024))</x:f>
        <x:v>2688</x:v>
      </x:c>
      <x:c r="O195" s="2921" t="n">
        <x:f>IF(AND(ISNUMBER(N195),ISNUMBER(K195),K195&gt;0),N195*1024/K195,"")</x:f>
        <x:v>21504</x:v>
      </x:c>
      <x:c r="P195" s="2922" t="n">
        <x:f>IF(OR(E195="",F195="",G195=""),"",((H195+I195)*1024)/(E195*F195*G195/4096))</x:f>
        <x:v>128</x:v>
      </x:c>
      <x:c r="Q195" s="2922" t="n">
        <x:f>IF(OR(E195="",F195="",G195=""),"",(E195*F195*4)/(E195*F195*G195/4096))</x:f>
        <x:v>32</x:v>
      </x:c>
      <x:c r="R195" s="2920" t="n">
        <x:f>IF(AND(ISNUMBER(K195),K195&gt;0,ISNUMBER(P195),P195&gt;0),MIN(1,K195/P195),"")</x:f>
        <x:v>1</x:v>
      </x:c>
      <x:c r="S195" s="2920" t="n">
        <x:f>IF(AND(ISNUMBER(K195),K195&gt;0,ISNUMBER(Q195),Q195&gt;0),MIN(1,K195/Q195),"")</x:f>
        <x:v>1</x:v>
      </x:c>
      <x:c r="T195" s="2920" t="n">
        <x:f>IF(AND(ISNUMBER(R195),ISNUMBER(S195)),MIN(R195,S195),"")</x:f>
        <x:v>1</x:v>
      </x:c>
      <x:c r="U195" s="2922" t="n">
        <x:f>IF(AND(ISNUMBER(M195),ISNUMBER(T195)),(M195-T195)*100,"")</x:f>
        <x:v>-76.5</x:v>
      </x:c>
      <x:c r="V195" s="2979" t="n">
        <x:v>32732</x:v>
      </x:c>
      <x:c r="W195" s="2920" t="n">
        <x:v>0.876</x:v>
      </x:c>
      <x:c r="X195" s="2920" t="n">
        <x:f>IF(AND(ISNUMBER(L195),ISNUMBER(V195),L195&gt;0,V195&gt;0),(L195-V195)/L195,"")</x:f>
        <x:v>0.4635857096034087</x:v>
      </x:c>
      <x:c r="Y195" s="2959" t="n">
        <x:f>IF(AND(ISNUMBER(L195),ISNUMBER(V195),L195&gt;0,V195&gt;0),L195/V195,"")</x:f>
        <x:v>1.8642307222290113</x:v>
      </x:c>
      <x:c r="Z195" s="2920" t="n">
        <x:f>IF(AND(ISNUMBER(C195),ISNUMBER(F195),C195&gt;0,F195&gt;0),1-F195/C195,"")</x:f>
        <x:v>0</x:v>
      </x:c>
      <x:c r="AA195" s="2938" t="inlineStr">
        <x:is>
          <x:t xml:space="preserve">PASS</x:t>
        </x:is>
      </x:c>
      <x:c r="AB195" s="2938" t="inlineStr">
        <x:is>
          <x:t xml:space="preserve">PASS</x:t>
        </x:is>
      </x:c>
      <x:c r="AC195" s="2930" t="inlineStr">
        <x:is>
          <x:t xml:space="preserve">本轮 model-main ae058a98 + 6参数(无SoC带宽/延迟) 2026-09-26</x:t>
        </x:is>
      </x:c>
    </x:row>
    <x:row r="196" ht="20" customHeight="1">
      <x:c r="A196" s="2822" t="inlineStr">
        <x:is>
          <x:t xml:space="preserve">FP16</x:t>
        </x:is>
      </x:c>
      <x:c r="B196" s="2964" t="n"/>
      <x:c r="C196" s="2964" t="n"/>
      <x:c r="D196" s="2964" t="n"/>
      <x:c r="E196" s="2964" t="n"/>
      <x:c r="F196" s="2964" t="n"/>
      <x:c r="G196" s="2964" t="n"/>
      <x:c r="H196" s="2965" t="n"/>
      <x:c r="I196" s="2965" t="n"/>
      <x:c r="J196" s="2965" t="n"/>
      <x:c r="K196" s="2966"/>
      <x:c r="L196" s="2964" t="n"/>
      <x:c r="M196" s="2826" t="str"/>
      <x:c r="N196" s="2964" t="str"/>
      <x:c r="O196" s="2827" t="str"/>
      <x:c r="P196" s="2828" t="str"/>
      <x:c r="Q196" s="2828" t="str"/>
      <x:c r="R196" s="2826" t="str"/>
      <x:c r="S196" s="2826" t="str"/>
      <x:c r="T196" s="2826" t="str"/>
      <x:c r="U196" s="2828" t="str"/>
      <x:c r="V196" s="2964" t="n"/>
      <x:c r="W196" s="2826" t="n"/>
      <x:c r="X196" s="2826" t="n"/>
      <x:c r="Y196" s="2954" t="n"/>
      <x:c r="Z196" s="2826" t="n"/>
      <x:c r="AA196" s="2822" t="n"/>
      <x:c r="AB196" s="2822" t="n"/>
      <x:c r="AC196" s="2822" t="n"/>
    </x:row>
    <x:row r="197" ht="20" customHeight="1">
      <x:c r="A197" s="2841" t="inlineStr">
        <x:is>
          <x:t xml:space="preserve">FP16</x:t>
        </x:is>
      </x:c>
      <x:c r="B197" s="2967" t="n">
        <x:v>64</x:v>
      </x:c>
      <x:c r="C197" s="2967" t="n">
        <x:v>128</x:v>
      </x:c>
      <x:c r="D197" s="2967" t="n">
        <x:v>7168</x:v>
      </x:c>
      <x:c r="E197" s="2967" t="n">
        <x:v>128</x:v>
      </x:c>
      <x:c r="F197" s="2967" t="n">
        <x:v>64</x:v>
      </x:c>
      <x:c r="G197" s="2967" t="n">
        <x:v>64</x:v>
      </x:c>
      <x:c r="H197" s="2968" t="n">
        <x:v>16</x:v>
      </x:c>
      <x:c r="I197" s="2968" t="n">
        <x:v>8</x:v>
      </x:c>
      <x:c r="J197" s="2968" t="n">
        <x:v>24</x:v>
      </x:c>
      <x:c r="K197" s="2969" t="n">
        <x:v>128</x:v>
      </x:c>
      <x:c r="L197" s="2967" t="n">
        <x:v>46101</x:v>
      </x:c>
      <x:c r="M197" s="2845" t="n">
        <x:f>IF(AND(ISNUMBER(L197),L197&gt;0),ROUND(B197*C197*D197/4096/L197*100,1)/100,"")</x:f>
        <x:v>0.311</x:v>
      </x:c>
      <x:c r="N197" s="2967" t="n">
        <x:f>IF(OR(B197="",C197="",D197="",E197="",F197="",G197=""),"",ROUNDUP(B197/MIN(E197,128),0)*(C197/F197)*(D197/G197)*((MIN(B197,MIN(E197,128))+F197)*G197*2/1024))</x:f>
        <x:v>3584</x:v>
      </x:c>
      <x:c r="O197" s="2846" t="n">
        <x:f>IF(AND(ISNUMBER(N197),ISNUMBER(K197),K197&gt;0),N197*1024/K197,"")</x:f>
        <x:v>28672</x:v>
      </x:c>
      <x:c r="P197" s="2847" t="n">
        <x:f>IF(OR(E197="",F197="",G197=""),"",((H197+I197)*1024)/(E197*F197*G197/4096))</x:f>
        <x:v>192</x:v>
      </x:c>
      <x:c r="Q197" s="2847" t="n">
        <x:f>IF(OR(E197="",F197="",G197=""),"",(E197*F197*4)/(E197*F197*G197/4096))</x:f>
        <x:v>256</x:v>
      </x:c>
      <x:c r="R197" s="2845" t="n">
        <x:f>IF(AND(ISNUMBER(K197),K197&gt;0,ISNUMBER(P197),P197&gt;0),MIN(1,K197/P197),"")</x:f>
        <x:v>0.6666666666666666</x:v>
      </x:c>
      <x:c r="S197" s="2845" t="n">
        <x:f>IF(AND(ISNUMBER(K197),K197&gt;0,ISNUMBER(Q197),Q197&gt;0),MIN(1,K197/Q197),"")</x:f>
        <x:v>0.5</x:v>
      </x:c>
      <x:c r="T197" s="2845" t="n">
        <x:f>IF(AND(ISNUMBER(R197),ISNUMBER(S197)),MIN(R197,S197),"")</x:f>
        <x:v>0.5</x:v>
      </x:c>
      <x:c r="U197" s="2847" t="n">
        <x:f>IF(AND(ISNUMBER(M197),ISNUMBER(T197)),(M197-T197)*100,"")</x:f>
        <x:v>-18.9</x:v>
      </x:c>
      <x:c r="V197" s="2967" t="inlineStr">
        <x:is>
          <x:t xml:space="preserve">—</x:t>
        </x:is>
      </x:c>
      <x:c r="W197" s="2845" t="n"/>
      <x:c r="X197" s="2845" t="n"/>
      <x:c r="Y197" s="2955" t="n"/>
      <x:c r="Z197" s="2845" t="n"/>
      <x:c r="AA197" s="2932" t="inlineStr">
        <x:is>
          <x:t xml:space="preserve">COMPILE_FAIL</x:t>
        </x:is>
      </x:c>
      <x:c r="AB197" s="2931" t="inlineStr">
        <x:is>
          <x:t xml:space="preserve">PASS</x:t>
        </x:is>
      </x:c>
      <x:c r="AC197" s="2855" t="inlineStr">
        <x:is>
          <x:t xml:space="preserve">本轮 model-main ae058a98 + 6参数(无SoC带宽/延迟) 2026-09-26</x:t>
        </x:is>
      </x:c>
    </x:row>
    <x:row r="198" ht="20" customHeight="1">
      <x:c r="A198" s="2841" t="inlineStr">
        <x:is>
          <x:t xml:space="preserve">FP16</x:t>
        </x:is>
      </x:c>
      <x:c r="B198" s="2967" t="n">
        <x:v>64</x:v>
      </x:c>
      <x:c r="C198" s="2967" t="n">
        <x:v>128</x:v>
      </x:c>
      <x:c r="D198" s="2967" t="n">
        <x:v>7168</x:v>
      </x:c>
      <x:c r="E198" s="2967" t="n">
        <x:v>128</x:v>
      </x:c>
      <x:c r="F198" s="2967" t="n">
        <x:v>64</x:v>
      </x:c>
      <x:c r="G198" s="2967" t="n">
        <x:v>128</x:v>
      </x:c>
      <x:c r="H198" s="2968" t="n">
        <x:v>32</x:v>
      </x:c>
      <x:c r="I198" s="2968" t="n">
        <x:v>16</x:v>
      </x:c>
      <x:c r="J198" s="2968" t="n">
        <x:v>48</x:v>
      </x:c>
      <x:c r="K198" s="2969" t="n">
        <x:v>128</x:v>
      </x:c>
      <x:c r="L198" s="2967" t="n">
        <x:v>46225</x:v>
      </x:c>
      <x:c r="M198" s="2845" t="n">
        <x:f>IF(AND(ISNUMBER(L198),L198&gt;0),ROUND(B198*C198*D198/4096/L198*100,1)/100,"")</x:f>
        <x:v>0.31</x:v>
      </x:c>
      <x:c r="N198" s="2967" t="n">
        <x:f>IF(OR(B198="",C198="",D198="",E198="",F198="",G198=""),"",ROUNDUP(B198/MIN(E198,128),0)*(C198/F198)*(D198/G198)*((MIN(B198,MIN(E198,128))+F198)*G198*2/1024))</x:f>
        <x:v>3584</x:v>
      </x:c>
      <x:c r="O198" s="2846" t="n">
        <x:f>IF(AND(ISNUMBER(N198),ISNUMBER(K198),K198&gt;0),N198*1024/K198,"")</x:f>
        <x:v>28672</x:v>
      </x:c>
      <x:c r="P198" s="2847" t="n">
        <x:f>IF(OR(E198="",F198="",G198=""),"",((H198+I198)*1024)/(E198*F198*G198/4096))</x:f>
        <x:v>192</x:v>
      </x:c>
      <x:c r="Q198" s="2847" t="n">
        <x:f>IF(OR(E198="",F198="",G198=""),"",(E198*F198*4)/(E198*F198*G198/4096))</x:f>
        <x:v>128</x:v>
      </x:c>
      <x:c r="R198" s="2845" t="n">
        <x:f>IF(AND(ISNUMBER(K198),K198&gt;0,ISNUMBER(P198),P198&gt;0),MIN(1,K198/P198),"")</x:f>
        <x:v>0.6666666666666666</x:v>
      </x:c>
      <x:c r="S198" s="2845" t="n">
        <x:f>IF(AND(ISNUMBER(K198),K198&gt;0,ISNUMBER(Q198),Q198&gt;0),MIN(1,K198/Q198),"")</x:f>
        <x:v>1</x:v>
      </x:c>
      <x:c r="T198" s="2845" t="n">
        <x:f>IF(AND(ISNUMBER(R198),ISNUMBER(S198)),MIN(R198,S198),"")</x:f>
        <x:v>0.6666666666666666</x:v>
      </x:c>
      <x:c r="U198" s="2847" t="n">
        <x:f>IF(AND(ISNUMBER(M198),ISNUMBER(T198)),(M198-T198)*100,"")</x:f>
        <x:v>-35.666666666666664</x:v>
      </x:c>
      <x:c r="V198" s="2967" t="inlineStr">
        <x:is>
          <x:t xml:space="preserve">—</x:t>
        </x:is>
      </x:c>
      <x:c r="W198" s="2845" t="n"/>
      <x:c r="X198" s="2845" t="n"/>
      <x:c r="Y198" s="2955" t="n"/>
      <x:c r="Z198" s="2845" t="n"/>
      <x:c r="AA198" s="2932" t="inlineStr">
        <x:is>
          <x:t xml:space="preserve">ASSERT_FAIL</x:t>
        </x:is>
      </x:c>
      <x:c r="AB198" s="2931" t="inlineStr">
        <x:is>
          <x:t xml:space="preserve">PASS</x:t>
        </x:is>
      </x:c>
      <x:c r="AC198" s="2855" t="inlineStr">
        <x:is>
          <x:t xml:space="preserve">本轮 model-main ae058a98 + 6参数(无SoC带宽/延迟) 2026-09-26</x:t>
        </x:is>
      </x:c>
    </x:row>
    <x:row r="199" ht="20" customHeight="1">
      <x:c r="A199" s="2841" t="inlineStr">
        <x:is>
          <x:t xml:space="preserve">FP16</x:t>
        </x:is>
      </x:c>
      <x:c r="B199" s="2967" t="n">
        <x:v>64</x:v>
      </x:c>
      <x:c r="C199" s="2967" t="n">
        <x:v>128</x:v>
      </x:c>
      <x:c r="D199" s="2967" t="n">
        <x:v>7168</x:v>
      </x:c>
      <x:c r="E199" s="2967" t="n">
        <x:v>128</x:v>
      </x:c>
      <x:c r="F199" s="2967" t="n">
        <x:v>64</x:v>
      </x:c>
      <x:c r="G199" s="2967" t="n">
        <x:v>256</x:v>
      </x:c>
      <x:c r="H199" s="2968" t="n">
        <x:v>64</x:v>
      </x:c>
      <x:c r="I199" s="2968" t="n">
        <x:v>32</x:v>
      </x:c>
      <x:c r="J199" s="2968" t="n">
        <x:v>96</x:v>
      </x:c>
      <x:c r="K199" s="2969" t="n">
        <x:v>128</x:v>
      </x:c>
      <x:c r="L199" s="2967" t="n">
        <x:v>46347</x:v>
      </x:c>
      <x:c r="M199" s="2845" t="n">
        <x:f>IF(AND(ISNUMBER(L199),L199&gt;0),ROUND(B199*C199*D199/4096/L199*100,1)/100,"")</x:f>
        <x:v>0.309</x:v>
      </x:c>
      <x:c r="N199" s="2967" t="n">
        <x:f>IF(OR(B199="",C199="",D199="",E199="",F199="",G199=""),"",ROUNDUP(B199/MIN(E199,128),0)*(C199/F199)*(D199/G199)*((MIN(B199,MIN(E199,128))+F199)*G199*2/1024))</x:f>
        <x:v>3584</x:v>
      </x:c>
      <x:c r="O199" s="2846" t="n">
        <x:f>IF(AND(ISNUMBER(N199),ISNUMBER(K199),K199&gt;0),N199*1024/K199,"")</x:f>
        <x:v>28672</x:v>
      </x:c>
      <x:c r="P199" s="2847" t="n">
        <x:f>IF(OR(E199="",F199="",G199=""),"",((H199+I199)*1024)/(E199*F199*G199/4096))</x:f>
        <x:v>192</x:v>
      </x:c>
      <x:c r="Q199" s="2847" t="n">
        <x:f>IF(OR(E199="",F199="",G199=""),"",(E199*F199*4)/(E199*F199*G199/4096))</x:f>
        <x:v>64</x:v>
      </x:c>
      <x:c r="R199" s="2845" t="n">
        <x:f>IF(AND(ISNUMBER(K199),K199&gt;0,ISNUMBER(P199),P199&gt;0),MIN(1,K199/P199),"")</x:f>
        <x:v>0.6666666666666666</x:v>
      </x:c>
      <x:c r="S199" s="2845" t="n">
        <x:f>IF(AND(ISNUMBER(K199),K199&gt;0,ISNUMBER(Q199),Q199&gt;0),MIN(1,K199/Q199),"")</x:f>
        <x:v>1</x:v>
      </x:c>
      <x:c r="T199" s="2845" t="n">
        <x:f>IF(AND(ISNUMBER(R199),ISNUMBER(S199)),MIN(R199,S199),"")</x:f>
        <x:v>0.6666666666666666</x:v>
      </x:c>
      <x:c r="U199" s="2847" t="n">
        <x:f>IF(AND(ISNUMBER(M199),ISNUMBER(T199)),(M199-T199)*100,"")</x:f>
        <x:v>-35.766666666666666</x:v>
      </x:c>
      <x:c r="V199" s="2967" t="inlineStr">
        <x:is>
          <x:t xml:space="preserve">—</x:t>
        </x:is>
      </x:c>
      <x:c r="W199" s="2845" t="n"/>
      <x:c r="X199" s="2845" t="n"/>
      <x:c r="Y199" s="2955" t="n"/>
      <x:c r="Z199" s="2845" t="n"/>
      <x:c r="AA199" s="2932" t="inlineStr">
        <x:is>
          <x:t xml:space="preserve">ASSERT_FAIL</x:t>
        </x:is>
      </x:c>
      <x:c r="AB199" s="2931" t="inlineStr">
        <x:is>
          <x:t xml:space="preserve">PASS</x:t>
        </x:is>
      </x:c>
      <x:c r="AC199" s="2855" t="inlineStr">
        <x:is>
          <x:t xml:space="preserve">本轮 model-main ae058a98 + 6参数(无SoC带宽/延迟) 2026-09-26</x:t>
        </x:is>
      </x:c>
    </x:row>
    <x:row r="200" ht="20" customHeight="1">
      <x:c r="A200" s="2841" t="inlineStr">
        <x:is>
          <x:t xml:space="preserve">FP16</x:t>
        </x:is>
      </x:c>
      <x:c r="B200" s="2967" t="n">
        <x:v>64</x:v>
      </x:c>
      <x:c r="C200" s="2967" t="n">
        <x:v>128</x:v>
      </x:c>
      <x:c r="D200" s="2967" t="n">
        <x:v>7168</x:v>
      </x:c>
      <x:c r="E200" s="2967" t="n">
        <x:v>128</x:v>
      </x:c>
      <x:c r="F200" s="2967" t="n">
        <x:v>64</x:v>
      </x:c>
      <x:c r="G200" s="2967" t="n">
        <x:v>512</x:v>
      </x:c>
      <x:c r="H200" s="2968" t="n">
        <x:v>128</x:v>
      </x:c>
      <x:c r="I200" s="2968" t="n">
        <x:v>64</x:v>
      </x:c>
      <x:c r="J200" s="2968" t="n">
        <x:v>192</x:v>
      </x:c>
      <x:c r="K200" s="2969" t="n">
        <x:v>128</x:v>
      </x:c>
      <x:c r="L200" s="2967" t="n">
        <x:v>84411</x:v>
      </x:c>
      <x:c r="M200" s="2845" t="n">
        <x:f>IF(AND(ISNUMBER(L200),L200&gt;0),ROUND(B200*C200*D200/4096/L200*100,1)/100,"")</x:f>
        <x:v>0.17</x:v>
      </x:c>
      <x:c r="N200" s="2967" t="n">
        <x:f>IF(OR(B200="",C200="",D200="",E200="",F200="",G200=""),"",ROUNDUP(B200/MIN(E200,128),0)*(C200/F200)*(D200/G200)*((MIN(B200,MIN(E200,128))+F200)*G200*2/1024))</x:f>
        <x:v>3584</x:v>
      </x:c>
      <x:c r="O200" s="2846" t="n">
        <x:f>IF(AND(ISNUMBER(N200),ISNUMBER(K200),K200&gt;0),N200*1024/K200,"")</x:f>
        <x:v>28672</x:v>
      </x:c>
      <x:c r="P200" s="2847" t="n">
        <x:f>IF(OR(E200="",F200="",G200=""),"",((H200+I200)*1024)/(E200*F200*G200/4096))</x:f>
        <x:v>192</x:v>
      </x:c>
      <x:c r="Q200" s="2847" t="n">
        <x:f>IF(OR(E200="",F200="",G200=""),"",(E200*F200*4)/(E200*F200*G200/4096))</x:f>
        <x:v>32</x:v>
      </x:c>
      <x:c r="R200" s="2845" t="n">
        <x:f>IF(AND(ISNUMBER(K200),K200&gt;0,ISNUMBER(P200),P200&gt;0),MIN(1,K200/P200),"")</x:f>
        <x:v>0.6666666666666666</x:v>
      </x:c>
      <x:c r="S200" s="2845" t="n">
        <x:f>IF(AND(ISNUMBER(K200),K200&gt;0,ISNUMBER(Q200),Q200&gt;0),MIN(1,K200/Q200),"")</x:f>
        <x:v>1</x:v>
      </x:c>
      <x:c r="T200" s="2845" t="n">
        <x:f>IF(AND(ISNUMBER(R200),ISNUMBER(S200)),MIN(R200,S200),"")</x:f>
        <x:v>0.6666666666666666</x:v>
      </x:c>
      <x:c r="U200" s="2847" t="n">
        <x:f>IF(AND(ISNUMBER(M200),ISNUMBER(T200)),(M200-T200)*100,"")</x:f>
        <x:v>-49.66666666666666</x:v>
      </x:c>
      <x:c r="V200" s="2967" t="inlineStr">
        <x:is>
          <x:t xml:space="preserve">—</x:t>
        </x:is>
      </x:c>
      <x:c r="W200" s="2845" t="n"/>
      <x:c r="X200" s="2845" t="n"/>
      <x:c r="Y200" s="2955" t="n"/>
      <x:c r="Z200" s="2845" t="n"/>
      <x:c r="AA200" s="2932" t="inlineStr">
        <x:is>
          <x:t xml:space="preserve">ASSERT_FAIL</x:t>
        </x:is>
      </x:c>
      <x:c r="AB200" s="2931" t="inlineStr">
        <x:is>
          <x:t xml:space="preserve">PASS</x:t>
        </x:is>
      </x:c>
      <x:c r="AC200" s="2855" t="inlineStr">
        <x:is>
          <x:t xml:space="preserve">本轮 model-main ae058a98 + 6参数(无SoC带宽/延迟) 2026-09-26</x:t>
        </x:is>
      </x:c>
    </x:row>
    <x:row r="201" ht="20" customHeight="1">
      <x:c r="A201" s="2841" t="inlineStr">
        <x:is>
          <x:t xml:space="preserve">FP16</x:t>
        </x:is>
      </x:c>
      <x:c r="B201" s="2967" t="n">
        <x:v>64</x:v>
      </x:c>
      <x:c r="C201" s="2967" t="n">
        <x:v>128</x:v>
      </x:c>
      <x:c r="D201" s="2967" t="n">
        <x:v>7168</x:v>
      </x:c>
      <x:c r="E201" s="2967" t="n">
        <x:v>128</x:v>
      </x:c>
      <x:c r="F201" s="2967" t="n">
        <x:v>128</x:v>
      </x:c>
      <x:c r="G201" s="2967" t="n">
        <x:v>64</x:v>
      </x:c>
      <x:c r="H201" s="2968" t="n">
        <x:v>16</x:v>
      </x:c>
      <x:c r="I201" s="2968" t="n">
        <x:v>16</x:v>
      </x:c>
      <x:c r="J201" s="2968" t="n">
        <x:v>32</x:v>
      </x:c>
      <x:c r="K201" s="2969" t="n">
        <x:v>128</x:v>
      </x:c>
      <x:c r="L201" s="2967" t="n">
        <x:v>34919</x:v>
      </x:c>
      <x:c r="M201" s="2845" t="n">
        <x:f>IF(AND(ISNUMBER(L201),L201&gt;0),ROUND(B201*C201*D201/4096/L201*100,1)/100,"")</x:f>
        <x:v>0.41100000000000003</x:v>
      </x:c>
      <x:c r="N201" s="2967" t="n">
        <x:f>IF(OR(B201="",C201="",D201="",E201="",F201="",G201=""),"",ROUNDUP(B201/MIN(E201,128),0)*(C201/F201)*(D201/G201)*((MIN(B201,MIN(E201,128))+F201)*G201*2/1024))</x:f>
        <x:v>2688</x:v>
      </x:c>
      <x:c r="O201" s="2846" t="n">
        <x:f>IF(AND(ISNUMBER(N201),ISNUMBER(K201),K201&gt;0),N201*1024/K201,"")</x:f>
        <x:v>21504</x:v>
      </x:c>
      <x:c r="P201" s="2847" t="n">
        <x:f>IF(OR(E201="",F201="",G201=""),"",((H201+I201)*1024)/(E201*F201*G201/4096))</x:f>
        <x:v>128</x:v>
      </x:c>
      <x:c r="Q201" s="2847" t="n">
        <x:f>IF(OR(E201="",F201="",G201=""),"",(E201*F201*4)/(E201*F201*G201/4096))</x:f>
        <x:v>256</x:v>
      </x:c>
      <x:c r="R201" s="2845" t="n">
        <x:f>IF(AND(ISNUMBER(K201),K201&gt;0,ISNUMBER(P201),P201&gt;0),MIN(1,K201/P201),"")</x:f>
        <x:v>1</x:v>
      </x:c>
      <x:c r="S201" s="2845" t="n">
        <x:f>IF(AND(ISNUMBER(K201),K201&gt;0,ISNUMBER(Q201),Q201&gt;0),MIN(1,K201/Q201),"")</x:f>
        <x:v>0.5</x:v>
      </x:c>
      <x:c r="T201" s="2845" t="n">
        <x:f>IF(AND(ISNUMBER(R201),ISNUMBER(S201)),MIN(R201,S201),"")</x:f>
        <x:v>0.5</x:v>
      </x:c>
      <x:c r="U201" s="2847" t="n">
        <x:f>IF(AND(ISNUMBER(M201),ISNUMBER(T201)),(M201-T201)*100,"")</x:f>
        <x:v>-8.899999999999997</x:v>
      </x:c>
      <x:c r="V201" s="2967" t="inlineStr">
        <x:is>
          <x:t xml:space="preserve">—</x:t>
        </x:is>
      </x:c>
      <x:c r="W201" s="2845" t="n"/>
      <x:c r="X201" s="2845" t="n"/>
      <x:c r="Y201" s="2955" t="n"/>
      <x:c r="Z201" s="2845" t="n"/>
      <x:c r="AA201" s="2932" t="inlineStr">
        <x:is>
          <x:t xml:space="preserve">COMPILE_FAIL</x:t>
        </x:is>
      </x:c>
      <x:c r="AB201" s="2931" t="inlineStr">
        <x:is>
          <x:t xml:space="preserve">PASS</x:t>
        </x:is>
      </x:c>
      <x:c r="AC201" s="2855" t="inlineStr">
        <x:is>
          <x:t xml:space="preserve">本轮 model-main ae058a98 + 6参数(无SoC带宽/延迟) 2026-09-26</x:t>
        </x:is>
      </x:c>
    </x:row>
    <x:row r="202" ht="20" customHeight="1">
      <x:c r="A202" s="2943" t="inlineStr">
        <x:is>
          <x:t xml:space="preserve">FP16</x:t>
        </x:is>
      </x:c>
      <x:c r="B202" s="2970" t="n">
        <x:v>64</x:v>
      </x:c>
      <x:c r="C202" s="2970" t="n">
        <x:v>128</x:v>
      </x:c>
      <x:c r="D202" s="2970" t="n">
        <x:v>7168</x:v>
      </x:c>
      <x:c r="E202" s="2970" t="n">
        <x:v>128</x:v>
      </x:c>
      <x:c r="F202" s="2970" t="n">
        <x:v>128</x:v>
      </x:c>
      <x:c r="G202" s="2970" t="n">
        <x:v>128</x:v>
      </x:c>
      <x:c r="H202" s="2971" t="n">
        <x:v>32</x:v>
      </x:c>
      <x:c r="I202" s="2971" t="n">
        <x:v>32</x:v>
      </x:c>
      <x:c r="J202" s="2971" t="n">
        <x:v>64</x:v>
      </x:c>
      <x:c r="K202" s="2972" t="n">
        <x:v>128</x:v>
      </x:c>
      <x:c r="L202" s="2970" t="n">
        <x:v>35111</x:v>
      </x:c>
      <x:c r="M202" s="2947" t="n">
        <x:f>IF(AND(ISNUMBER(L202),L202&gt;0),ROUND(B202*C202*D202/4096/L202*100,1)/100,"")</x:f>
        <x:v>0.408</x:v>
      </x:c>
      <x:c r="N202" s="2970" t="n">
        <x:f>IF(OR(B202="",C202="",D202="",E202="",F202="",G202=""),"",ROUNDUP(B202/MIN(E202,128),0)*(C202/F202)*(D202/G202)*((MIN(B202,MIN(E202,128))+F202)*G202*2/1024))</x:f>
        <x:v>2688</x:v>
      </x:c>
      <x:c r="O202" s="2948" t="n">
        <x:f>IF(AND(ISNUMBER(N202),ISNUMBER(K202),K202&gt;0),N202*1024/K202,"")</x:f>
        <x:v>21504</x:v>
      </x:c>
      <x:c r="P202" s="2949" t="n">
        <x:f>IF(OR(E202="",F202="",G202=""),"",((H202+I202)*1024)/(E202*F202*G202/4096))</x:f>
        <x:v>128</x:v>
      </x:c>
      <x:c r="Q202" s="2949" t="n">
        <x:f>IF(OR(E202="",F202="",G202=""),"",(E202*F202*4)/(E202*F202*G202/4096))</x:f>
        <x:v>128</x:v>
      </x:c>
      <x:c r="R202" s="2947" t="n">
        <x:f>IF(AND(ISNUMBER(K202),K202&gt;0,ISNUMBER(P202),P202&gt;0),MIN(1,K202/P202),"")</x:f>
        <x:v>1</x:v>
      </x:c>
      <x:c r="S202" s="2947" t="n">
        <x:f>IF(AND(ISNUMBER(K202),K202&gt;0,ISNUMBER(Q202),Q202&gt;0),MIN(1,K202/Q202),"")</x:f>
        <x:v>1</x:v>
      </x:c>
      <x:c r="T202" s="2947" t="n">
        <x:f>IF(AND(ISNUMBER(R202),ISNUMBER(S202)),MIN(R202,S202),"")</x:f>
        <x:v>1</x:v>
      </x:c>
      <x:c r="U202" s="2949" t="n">
        <x:f>IF(AND(ISNUMBER(M202),ISNUMBER(T202)),(M202-T202)*100,"")</x:f>
        <x:v>-59.20000000000001</x:v>
      </x:c>
      <x:c r="V202" s="2970" t="n">
        <x:v>29566</x:v>
      </x:c>
      <x:c r="W202" s="2947" t="n">
        <x:v>0.97</x:v>
      </x:c>
      <x:c r="X202" s="2947" t="n">
        <x:f>IF(AND(ISNUMBER(L202),ISNUMBER(V202),L202&gt;0,V202&gt;0),(L202-V202)/L202,"")</x:f>
        <x:v>0.1579277149611233</x:v>
      </x:c>
      <x:c r="Y202" s="2956" t="n">
        <x:f>IF(AND(ISNUMBER(L202),ISNUMBER(V202),L202&gt;0,V202&gt;0),L202/V202,"")</x:f>
        <x:v>1.1875465061218968</x:v>
      </x:c>
      <x:c r="Z202" s="2947" t="n">
        <x:f>IF(AND(ISNUMBER(C202),ISNUMBER(F202),C202&gt;0,F202&gt;0),1-F202/C202,"")</x:f>
        <x:v>0</x:v>
      </x:c>
      <x:c r="AA202" s="2951" t="inlineStr">
        <x:is>
          <x:t xml:space="preserve">PASS</x:t>
        </x:is>
      </x:c>
      <x:c r="AB202" s="2951" t="inlineStr">
        <x:is>
          <x:t xml:space="preserve">PASS</x:t>
        </x:is>
      </x:c>
      <x:c r="AC202" s="2952" t="inlineStr">
        <x:is>
          <x:t xml:space="preserve">本轮 model-main ae058a98 + 6参数(无SoC带宽/延迟) 2026-09-26</x:t>
        </x:is>
      </x:c>
    </x:row>
    <x:row r="203" ht="20" customHeight="1">
      <x:c r="A203" s="2841" t="inlineStr">
        <x:is>
          <x:t xml:space="preserve">FP16</x:t>
        </x:is>
      </x:c>
      <x:c r="B203" s="2967" t="n">
        <x:v>64</x:v>
      </x:c>
      <x:c r="C203" s="2967" t="n">
        <x:v>128</x:v>
      </x:c>
      <x:c r="D203" s="2967" t="n">
        <x:v>7168</x:v>
      </x:c>
      <x:c r="E203" s="2967" t="n">
        <x:v>128</x:v>
      </x:c>
      <x:c r="F203" s="2967" t="n">
        <x:v>128</x:v>
      </x:c>
      <x:c r="G203" s="2967" t="n">
        <x:v>256</x:v>
      </x:c>
      <x:c r="H203" s="2968" t="n">
        <x:v>64</x:v>
      </x:c>
      <x:c r="I203" s="2968" t="n">
        <x:v>64</x:v>
      </x:c>
      <x:c r="J203" s="2968" t="n">
        <x:v>128</x:v>
      </x:c>
      <x:c r="K203" s="2969" t="n">
        <x:v>128</x:v>
      </x:c>
      <x:c r="L203" s="2967" t="n">
        <x:v>35625</x:v>
      </x:c>
      <x:c r="M203" s="2845" t="n">
        <x:f>IF(AND(ISNUMBER(L203),L203&gt;0),ROUND(B203*C203*D203/4096/L203*100,1)/100,"")</x:f>
        <x:v>0.402</x:v>
      </x:c>
      <x:c r="N203" s="2967" t="n">
        <x:f>IF(OR(B203="",C203="",D203="",E203="",F203="",G203=""),"",ROUNDUP(B203/MIN(E203,128),0)*(C203/F203)*(D203/G203)*((MIN(B203,MIN(E203,128))+F203)*G203*2/1024))</x:f>
        <x:v>2688</x:v>
      </x:c>
      <x:c r="O203" s="2846" t="n">
        <x:f>IF(AND(ISNUMBER(N203),ISNUMBER(K203),K203&gt;0),N203*1024/K203,"")</x:f>
        <x:v>21504</x:v>
      </x:c>
      <x:c r="P203" s="2847" t="n">
        <x:f>IF(OR(E203="",F203="",G203=""),"",((H203+I203)*1024)/(E203*F203*G203/4096))</x:f>
        <x:v>128</x:v>
      </x:c>
      <x:c r="Q203" s="2847" t="n">
        <x:f>IF(OR(E203="",F203="",G203=""),"",(E203*F203*4)/(E203*F203*G203/4096))</x:f>
        <x:v>64</x:v>
      </x:c>
      <x:c r="R203" s="2845" t="n">
        <x:f>IF(AND(ISNUMBER(K203),K203&gt;0,ISNUMBER(P203),P203&gt;0),MIN(1,K203/P203),"")</x:f>
        <x:v>1</x:v>
      </x:c>
      <x:c r="S203" s="2845" t="n">
        <x:f>IF(AND(ISNUMBER(K203),K203&gt;0,ISNUMBER(Q203),Q203&gt;0),MIN(1,K203/Q203),"")</x:f>
        <x:v>1</x:v>
      </x:c>
      <x:c r="T203" s="2845" t="n">
        <x:f>IF(AND(ISNUMBER(R203),ISNUMBER(S203)),MIN(R203,S203),"")</x:f>
        <x:v>1</x:v>
      </x:c>
      <x:c r="U203" s="2847" t="n">
        <x:f>IF(AND(ISNUMBER(M203),ISNUMBER(T203)),(M203-T203)*100,"")</x:f>
        <x:v>-59.8</x:v>
      </x:c>
      <x:c r="V203" s="2967" t="n">
        <x:v>29878</x:v>
      </x:c>
      <x:c r="W203" s="2845" t="n">
        <x:v>0.96</x:v>
      </x:c>
      <x:c r="X203" s="2845" t="n">
        <x:f>IF(AND(ISNUMBER(L203),ISNUMBER(V203),L203&gt;0,V203&gt;0),(L203-V203)/L203,"")</x:f>
        <x:v>0.16131929824561403</x:v>
      </x:c>
      <x:c r="Y203" s="2955" t="n">
        <x:f>IF(AND(ISNUMBER(L203),ISNUMBER(V203),L203&gt;0,V203&gt;0),L203/V203,"")</x:f>
        <x:v>1.1923488854675681</x:v>
      </x:c>
      <x:c r="Z203" s="2845" t="n">
        <x:f>IF(AND(ISNUMBER(C203),ISNUMBER(F203),C203&gt;0,F203&gt;0),1-F203/C203,"")</x:f>
        <x:v>0</x:v>
      </x:c>
      <x:c r="AA203" s="2931" t="inlineStr">
        <x:is>
          <x:t xml:space="preserve">PASS</x:t>
        </x:is>
      </x:c>
      <x:c r="AB203" s="2931" t="inlineStr">
        <x:is>
          <x:t xml:space="preserve">PASS</x:t>
        </x:is>
      </x:c>
      <x:c r="AC203" s="2855" t="inlineStr">
        <x:is>
          <x:t xml:space="preserve">本轮 model-main ae058a98 + 6参数(无SoC带宽/延迟) 2026-09-26</x:t>
        </x:is>
      </x:c>
    </x:row>
    <x:row r="204" ht="20" customHeight="1">
      <x:c r="A204" s="2841" t="inlineStr">
        <x:is>
          <x:t xml:space="preserve">FP16</x:t>
        </x:is>
      </x:c>
      <x:c r="B204" s="2967" t="n">
        <x:v>64</x:v>
      </x:c>
      <x:c r="C204" s="2967" t="n">
        <x:v>128</x:v>
      </x:c>
      <x:c r="D204" s="2967" t="n">
        <x:v>7168</x:v>
      </x:c>
      <x:c r="E204" s="2967" t="n">
        <x:v>128</x:v>
      </x:c>
      <x:c r="F204" s="2967" t="n">
        <x:v>128</x:v>
      </x:c>
      <x:c r="G204" s="2967" t="n">
        <x:v>512</x:v>
      </x:c>
      <x:c r="H204" s="2968" t="n">
        <x:v>128</x:v>
      </x:c>
      <x:c r="I204" s="2968" t="n">
        <x:v>128</x:v>
      </x:c>
      <x:c r="J204" s="2968" t="n">
        <x:v>256</x:v>
      </x:c>
      <x:c r="K204" s="2969" t="n">
        <x:v>128</x:v>
      </x:c>
      <x:c r="L204" s="2967" t="n">
        <x:v>61020</x:v>
      </x:c>
      <x:c r="M204" s="2845" t="n">
        <x:f>IF(AND(ISNUMBER(L204),L204&gt;0),ROUND(B204*C204*D204/4096/L204*100,1)/100,"")</x:f>
        <x:v>0.235</x:v>
      </x:c>
      <x:c r="N204" s="2967" t="n">
        <x:f>IF(OR(B204="",C204="",D204="",E204="",F204="",G204=""),"",ROUNDUP(B204/MIN(E204,128),0)*(C204/F204)*(D204/G204)*((MIN(B204,MIN(E204,128))+F204)*G204*2/1024))</x:f>
        <x:v>2688</x:v>
      </x:c>
      <x:c r="O204" s="2846" t="n">
        <x:f>IF(AND(ISNUMBER(N204),ISNUMBER(K204),K204&gt;0),N204*1024/K204,"")</x:f>
        <x:v>21504</x:v>
      </x:c>
      <x:c r="P204" s="2847" t="n">
        <x:f>IF(OR(E204="",F204="",G204=""),"",((H204+I204)*1024)/(E204*F204*G204/4096))</x:f>
        <x:v>128</x:v>
      </x:c>
      <x:c r="Q204" s="2847" t="n">
        <x:f>IF(OR(E204="",F204="",G204=""),"",(E204*F204*4)/(E204*F204*G204/4096))</x:f>
        <x:v>32</x:v>
      </x:c>
      <x:c r="R204" s="2845" t="n">
        <x:f>IF(AND(ISNUMBER(K204),K204&gt;0,ISNUMBER(P204),P204&gt;0),MIN(1,K204/P204),"")</x:f>
        <x:v>1</x:v>
      </x:c>
      <x:c r="S204" s="2845" t="n">
        <x:f>IF(AND(ISNUMBER(K204),K204&gt;0,ISNUMBER(Q204),Q204&gt;0),MIN(1,K204/Q204),"")</x:f>
        <x:v>1</x:v>
      </x:c>
      <x:c r="T204" s="2845" t="n">
        <x:f>IF(AND(ISNUMBER(R204),ISNUMBER(S204)),MIN(R204,S204),"")</x:f>
        <x:v>1</x:v>
      </x:c>
      <x:c r="U204" s="2847" t="n">
        <x:f>IF(AND(ISNUMBER(M204),ISNUMBER(T204)),(M204-T204)*100,"")</x:f>
        <x:v>-76.5</x:v>
      </x:c>
      <x:c r="V204" s="2967" t="n">
        <x:v>32732</x:v>
      </x:c>
      <x:c r="W204" s="2845" t="n">
        <x:v>0.876</x:v>
      </x:c>
      <x:c r="X204" s="2845" t="n">
        <x:f>IF(AND(ISNUMBER(L204),ISNUMBER(V204),L204&gt;0,V204&gt;0),(L204-V204)/L204,"")</x:f>
        <x:v>0.4635857096034087</x:v>
      </x:c>
      <x:c r="Y204" s="2955" t="n">
        <x:f>IF(AND(ISNUMBER(L204),ISNUMBER(V204),L204&gt;0,V204&gt;0),L204/V204,"")</x:f>
        <x:v>1.8642307222290113</x:v>
      </x:c>
      <x:c r="Z204" s="2845" t="n">
        <x:f>IF(AND(ISNUMBER(C204),ISNUMBER(F204),C204&gt;0,F204&gt;0),1-F204/C204,"")</x:f>
        <x:v>0</x:v>
      </x:c>
      <x:c r="AA204" s="2931" t="inlineStr">
        <x:is>
          <x:t xml:space="preserve">PASS</x:t>
        </x:is>
      </x:c>
      <x:c r="AB204" s="2931" t="inlineStr">
        <x:is>
          <x:t xml:space="preserve">PASS</x:t>
        </x:is>
      </x:c>
      <x:c r="AC204" s="2855" t="inlineStr">
        <x:is>
          <x:t xml:space="preserve">本轮 model-main ae058a98 + 6参数(无SoC带宽/延迟) 2026-09-26</x:t>
        </x:is>
      </x:c>
    </x:row>
    <x:row r="205" ht="20" customHeight="1">
      <x:c r="A205" s="2822" t="inlineStr">
        <x:is>
          <x:t xml:space="preserve">FP8</x:t>
        </x:is>
      </x:c>
      <x:c r="B205" s="2964" t="n"/>
      <x:c r="C205" s="2964" t="n"/>
      <x:c r="D205" s="2964" t="n"/>
      <x:c r="E205" s="2964" t="n"/>
      <x:c r="F205" s="2964" t="n"/>
      <x:c r="G205" s="2964" t="n"/>
      <x:c r="H205" s="2965" t="n"/>
      <x:c r="I205" s="2965" t="n"/>
      <x:c r="J205" s="2965" t="n"/>
      <x:c r="K205" s="2966"/>
      <x:c r="L205" s="2964" t="n"/>
      <x:c r="M205" s="2826" t="str"/>
      <x:c r="N205" s="2964" t="str"/>
      <x:c r="O205" s="2827" t="str"/>
      <x:c r="P205" s="2828" t="str"/>
      <x:c r="Q205" s="2828" t="str"/>
      <x:c r="R205" s="2826" t="str"/>
      <x:c r="S205" s="2826" t="str"/>
      <x:c r="T205" s="2826" t="str"/>
      <x:c r="U205" s="2828" t="str"/>
      <x:c r="V205" s="2964" t="n"/>
      <x:c r="W205" s="2826" t="n"/>
      <x:c r="X205" s="2826" t="n"/>
      <x:c r="Y205" s="2954" t="n"/>
      <x:c r="Z205" s="2826" t="n"/>
      <x:c r="AA205" s="2822" t="n"/>
      <x:c r="AB205" s="2822" t="n"/>
      <x:c r="AC205" s="2822" t="n"/>
    </x:row>
    <x:row r="206" ht="20" customHeight="1">
      <x:c r="A206" s="2866" t="inlineStr">
        <x:is>
          <x:t xml:space="preserve">FP8</x:t>
        </x:is>
      </x:c>
      <x:c r="B206" s="2973" t="n">
        <x:v>64</x:v>
      </x:c>
      <x:c r="C206" s="2973" t="n">
        <x:v>128</x:v>
      </x:c>
      <x:c r="D206" s="2973" t="n">
        <x:v>7168</x:v>
      </x:c>
      <x:c r="E206" s="2973" t="n">
        <x:v>128</x:v>
      </x:c>
      <x:c r="F206" s="2973" t="n">
        <x:v>64</x:v>
      </x:c>
      <x:c r="G206" s="2973" t="n">
        <x:v>256</x:v>
      </x:c>
      <x:c r="H206" s="2974" t="n">
        <x:v>32</x:v>
      </x:c>
      <x:c r="I206" s="2974" t="n">
        <x:v>16</x:v>
      </x:c>
      <x:c r="J206" s="2974" t="n">
        <x:v>48</x:v>
      </x:c>
      <x:c r="K206" s="2975" t="n">
        <x:v>128</x:v>
      </x:c>
      <x:c r="L206" s="2973" t="n">
        <x:v>23919</x:v>
      </x:c>
      <x:c r="M206" s="2870" t="n">
        <x:f>IF(AND(ISNUMBER(L206),L206&gt;0),ROUND(B206*C206*D206/8192/L206*100,1)/100,"")</x:f>
        <x:v>0.3</x:v>
      </x:c>
      <x:c r="N206" s="2973" t="n">
        <x:f>IF(OR(B206="",C206="",D206="",E206="",F206="",G206=""),"",ROUNDUP(B206/MIN(E206,128),0)*(C206/F206)*(D206/G206)*((MIN(B206,MIN(E206,128))+F206)*G206*1/1024))</x:f>
        <x:v>1792</x:v>
      </x:c>
      <x:c r="O206" s="2871" t="n">
        <x:f>IF(AND(ISNUMBER(N206),ISNUMBER(K206),K206&gt;0),N206*1024/K206,"")</x:f>
        <x:v>14336</x:v>
      </x:c>
      <x:c r="P206" s="2872" t="n">
        <x:f>IF(OR(E206="",F206="",G206=""),"",((H206+I206)*1024)/(E206*F206*G206/8192))</x:f>
        <x:v>192</x:v>
      </x:c>
      <x:c r="Q206" s="2872" t="n">
        <x:f>IF(OR(E206="",F206="",G206=""),"",(E206*F206*4)/(E206*F206*G206/8192))</x:f>
        <x:v>128</x:v>
      </x:c>
      <x:c r="R206" s="2870" t="n">
        <x:f>IF(AND(ISNUMBER(K206),K206&gt;0,ISNUMBER(P206),P206&gt;0),MIN(1,K206/P206),"")</x:f>
        <x:v>0.6666666666666666</x:v>
      </x:c>
      <x:c r="S206" s="2870" t="n">
        <x:f>IF(AND(ISNUMBER(K206),K206&gt;0,ISNUMBER(Q206),Q206&gt;0),MIN(1,K206/Q206),"")</x:f>
        <x:v>1</x:v>
      </x:c>
      <x:c r="T206" s="2870" t="n">
        <x:f>IF(AND(ISNUMBER(R206),ISNUMBER(S206)),MIN(R206,S206),"")</x:f>
        <x:v>0.6666666666666666</x:v>
      </x:c>
      <x:c r="U206" s="2872" t="n">
        <x:f>IF(AND(ISNUMBER(M206),ISNUMBER(T206)),(M206-T206)*100,"")</x:f>
        <x:v>-36.666666666666664</x:v>
      </x:c>
      <x:c r="V206" s="2973" t="n"/>
      <x:c r="W206" s="2870" t="n"/>
      <x:c r="X206" s="2870" t="n"/>
      <x:c r="Y206" s="2957" t="n"/>
      <x:c r="Z206" s="2870" t="n"/>
      <x:c r="AA206" s="2941" t="n"/>
      <x:c r="AB206" s="2933" t="inlineStr">
        <x:is>
          <x:t xml:space="preserve">PASS</x:t>
        </x:is>
      </x:c>
      <x:c r="AC206" s="2880" t="inlineStr">
        <x:is>
          <x:t xml:space="preserve">matmul_shared_lowp（FP8）；本轮 model-main ae058a98 + 6参数(无SoC带宽/延迟) 2026-09-26</x:t>
        </x:is>
      </x:c>
    </x:row>
    <x:row r="207" ht="20" customHeight="1">
      <x:c r="A207" s="2866" t="inlineStr">
        <x:is>
          <x:t xml:space="preserve">FP8</x:t>
        </x:is>
      </x:c>
      <x:c r="B207" s="2973" t="n">
        <x:v>64</x:v>
      </x:c>
      <x:c r="C207" s="2973" t="n">
        <x:v>128</x:v>
      </x:c>
      <x:c r="D207" s="2973" t="n">
        <x:v>7168</x:v>
      </x:c>
      <x:c r="E207" s="2973" t="n">
        <x:v>128</x:v>
      </x:c>
      <x:c r="F207" s="2973" t="n">
        <x:v>64</x:v>
      </x:c>
      <x:c r="G207" s="2973" t="n">
        <x:v>512</x:v>
      </x:c>
      <x:c r="H207" s="2974" t="n">
        <x:v>64</x:v>
      </x:c>
      <x:c r="I207" s="2974" t="n">
        <x:v>32</x:v>
      </x:c>
      <x:c r="J207" s="2974" t="n">
        <x:v>96</x:v>
      </x:c>
      <x:c r="K207" s="2975" t="n">
        <x:v>128</x:v>
      </x:c>
      <x:c r="L207" s="2973" t="n">
        <x:v>24170</x:v>
      </x:c>
      <x:c r="M207" s="2870" t="n">
        <x:f>IF(AND(ISNUMBER(L207),L207&gt;0),ROUND(B207*C207*D207/8192/L207*100,1)/100,"")</x:f>
        <x:v>0.297</x:v>
      </x:c>
      <x:c r="N207" s="2973" t="n">
        <x:f>IF(OR(B207="",C207="",D207="",E207="",F207="",G207=""),"",ROUNDUP(B207/MIN(E207,128),0)*(C207/F207)*(D207/G207)*((MIN(B207,MIN(E207,128))+F207)*G207*1/1024))</x:f>
        <x:v>1792</x:v>
      </x:c>
      <x:c r="O207" s="2871" t="n">
        <x:f>IF(AND(ISNUMBER(N207),ISNUMBER(K207),K207&gt;0),N207*1024/K207,"")</x:f>
        <x:v>14336</x:v>
      </x:c>
      <x:c r="P207" s="2872" t="n">
        <x:f>IF(OR(E207="",F207="",G207=""),"",((H207+I207)*1024)/(E207*F207*G207/8192))</x:f>
        <x:v>192</x:v>
      </x:c>
      <x:c r="Q207" s="2872" t="n">
        <x:f>IF(OR(E207="",F207="",G207=""),"",(E207*F207*4)/(E207*F207*G207/8192))</x:f>
        <x:v>64</x:v>
      </x:c>
      <x:c r="R207" s="2870" t="n">
        <x:f>IF(AND(ISNUMBER(K207),K207&gt;0,ISNUMBER(P207),P207&gt;0),MIN(1,K207/P207),"")</x:f>
        <x:v>0.6666666666666666</x:v>
      </x:c>
      <x:c r="S207" s="2870" t="n">
        <x:f>IF(AND(ISNUMBER(K207),K207&gt;0,ISNUMBER(Q207),Q207&gt;0),MIN(1,K207/Q207),"")</x:f>
        <x:v>1</x:v>
      </x:c>
      <x:c r="T207" s="2870" t="n">
        <x:f>IF(AND(ISNUMBER(R207),ISNUMBER(S207)),MIN(R207,S207),"")</x:f>
        <x:v>0.6666666666666666</x:v>
      </x:c>
      <x:c r="U207" s="2872" t="n">
        <x:f>IF(AND(ISNUMBER(M207),ISNUMBER(T207)),(M207-T207)*100,"")</x:f>
        <x:v>-36.96666666666666</x:v>
      </x:c>
      <x:c r="V207" s="2973" t="n"/>
      <x:c r="W207" s="2870" t="n"/>
      <x:c r="X207" s="2870" t="n"/>
      <x:c r="Y207" s="2957" t="n"/>
      <x:c r="Z207" s="2870" t="n"/>
      <x:c r="AA207" s="2941" t="n"/>
      <x:c r="AB207" s="2933" t="inlineStr">
        <x:is>
          <x:t xml:space="preserve">PASS</x:t>
        </x:is>
      </x:c>
      <x:c r="AC207" s="2880" t="inlineStr">
        <x:is>
          <x:t xml:space="preserve">matmul_shared_lowp（FP8）；本轮 model-main ae058a98 + 6参数(无SoC带宽/延迟) 2026-09-26</x:t>
        </x:is>
      </x:c>
    </x:row>
    <x:row r="208" ht="20" customHeight="1">
      <x:c r="A208" s="2866" t="inlineStr">
        <x:is>
          <x:t xml:space="preserve">FP8</x:t>
        </x:is>
      </x:c>
      <x:c r="B208" s="2973" t="n">
        <x:v>64</x:v>
      </x:c>
      <x:c r="C208" s="2973" t="n">
        <x:v>128</x:v>
      </x:c>
      <x:c r="D208" s="2973" t="n">
        <x:v>7168</x:v>
      </x:c>
      <x:c r="E208" s="2973" t="n">
        <x:v>128</x:v>
      </x:c>
      <x:c r="F208" s="2973" t="n">
        <x:v>64</x:v>
      </x:c>
      <x:c r="G208" s="2973" t="n">
        <x:v>1024</x:v>
      </x:c>
      <x:c r="H208" s="2974" t="n">
        <x:v>128</x:v>
      </x:c>
      <x:c r="I208" s="2974" t="n">
        <x:v>64</x:v>
      </x:c>
      <x:c r="J208" s="2974" t="n">
        <x:v>192</x:v>
      </x:c>
      <x:c r="K208" s="2975" t="n">
        <x:v>128</x:v>
      </x:c>
      <x:c r="L208" s="2973" t="n">
        <x:v>42536</x:v>
      </x:c>
      <x:c r="M208" s="2870" t="n">
        <x:f>IF(AND(ISNUMBER(L208),L208&gt;0),ROUND(B208*C208*D208/8192/L208*100,1)/100,"")</x:f>
        <x:v>0.16899999999999998</x:v>
      </x:c>
      <x:c r="N208" s="2973" t="n">
        <x:f>IF(OR(B208="",C208="",D208="",E208="",F208="",G208=""),"",ROUNDUP(B208/MIN(E208,128),0)*(C208/F208)*(D208/G208)*((MIN(B208,MIN(E208,128))+F208)*G208*1/1024))</x:f>
        <x:v>1792</x:v>
      </x:c>
      <x:c r="O208" s="2871" t="n">
        <x:f>IF(AND(ISNUMBER(N208),ISNUMBER(K208),K208&gt;0),N208*1024/K208,"")</x:f>
        <x:v>14336</x:v>
      </x:c>
      <x:c r="P208" s="2872" t="n">
        <x:f>IF(OR(E208="",F208="",G208=""),"",((H208+I208)*1024)/(E208*F208*G208/8192))</x:f>
        <x:v>192</x:v>
      </x:c>
      <x:c r="Q208" s="2872" t="n">
        <x:f>IF(OR(E208="",F208="",G208=""),"",(E208*F208*4)/(E208*F208*G208/8192))</x:f>
        <x:v>32</x:v>
      </x:c>
      <x:c r="R208" s="2870" t="n">
        <x:f>IF(AND(ISNUMBER(K208),K208&gt;0,ISNUMBER(P208),P208&gt;0),MIN(1,K208/P208),"")</x:f>
        <x:v>0.6666666666666666</x:v>
      </x:c>
      <x:c r="S208" s="2870" t="n">
        <x:f>IF(AND(ISNUMBER(K208),K208&gt;0,ISNUMBER(Q208),Q208&gt;0),MIN(1,K208/Q208),"")</x:f>
        <x:v>1</x:v>
      </x:c>
      <x:c r="T208" s="2870" t="n">
        <x:f>IF(AND(ISNUMBER(R208),ISNUMBER(S208)),MIN(R208,S208),"")</x:f>
        <x:v>0.6666666666666666</x:v>
      </x:c>
      <x:c r="U208" s="2872" t="n">
        <x:f>IF(AND(ISNUMBER(M208),ISNUMBER(T208)),(M208-T208)*100,"")</x:f>
        <x:v>-49.766666666666666</x:v>
      </x:c>
      <x:c r="V208" s="2973" t="n"/>
      <x:c r="W208" s="2870" t="n"/>
      <x:c r="X208" s="2870" t="n"/>
      <x:c r="Y208" s="2957" t="n"/>
      <x:c r="Z208" s="2870" t="n"/>
      <x:c r="AA208" s="2941" t="n"/>
      <x:c r="AB208" s="2933" t="inlineStr">
        <x:is>
          <x:t xml:space="preserve">PASS</x:t>
        </x:is>
      </x:c>
      <x:c r="AC208" s="2880" t="inlineStr">
        <x:is>
          <x:t xml:space="preserve">matmul_shared_lowp（FP8）；本轮 model-main ae058a98 + 6参数(无SoC带宽/延迟) 2026-09-26</x:t>
        </x:is>
      </x:c>
    </x:row>
    <x:row r="209" ht="20" customHeight="1">
      <x:c r="A209" s="2866" t="inlineStr">
        <x:is>
          <x:t xml:space="preserve">FP8</x:t>
        </x:is>
      </x:c>
      <x:c r="B209" s="2973" t="n">
        <x:v>64</x:v>
      </x:c>
      <x:c r="C209" s="2973" t="n">
        <x:v>128</x:v>
      </x:c>
      <x:c r="D209" s="2973" t="n">
        <x:v>7168</x:v>
      </x:c>
      <x:c r="E209" s="2973" t="n">
        <x:v>128</x:v>
      </x:c>
      <x:c r="F209" s="2973" t="n">
        <x:v>128</x:v>
      </x:c>
      <x:c r="G209" s="2973" t="n">
        <x:v>256</x:v>
      </x:c>
      <x:c r="H209" s="2974" t="n">
        <x:v>32</x:v>
      </x:c>
      <x:c r="I209" s="2974" t="n">
        <x:v>32</x:v>
      </x:c>
      <x:c r="J209" s="2974" t="n">
        <x:v>64</x:v>
      </x:c>
      <x:c r="K209" s="2975" t="n">
        <x:v>128</x:v>
      </x:c>
      <x:c r="L209" s="2973" t="n">
        <x:v>18350</x:v>
      </x:c>
      <x:c r="M209" s="2870" t="n">
        <x:f>IF(AND(ISNUMBER(L209),L209&gt;0),ROUND(B209*C209*D209/8192/L209*100,1)/100,"")</x:f>
        <x:v>0.391</x:v>
      </x:c>
      <x:c r="N209" s="2973" t="n">
        <x:f>IF(OR(B209="",C209="",D209="",E209="",F209="",G209=""),"",ROUNDUP(B209/MIN(E209,128),0)*(C209/F209)*(D209/G209)*((MIN(B209,MIN(E209,128))+F209)*G209*1/1024))</x:f>
        <x:v>1344</x:v>
      </x:c>
      <x:c r="O209" s="2871" t="n">
        <x:f>IF(AND(ISNUMBER(N209),ISNUMBER(K209),K209&gt;0),N209*1024/K209,"")</x:f>
        <x:v>10752</x:v>
      </x:c>
      <x:c r="P209" s="2872" t="n">
        <x:f>IF(OR(E209="",F209="",G209=""),"",((H209+I209)*1024)/(E209*F209*G209/8192))</x:f>
        <x:v>128</x:v>
      </x:c>
      <x:c r="Q209" s="2872" t="n">
        <x:f>IF(OR(E209="",F209="",G209=""),"",(E209*F209*4)/(E209*F209*G209/8192))</x:f>
        <x:v>128</x:v>
      </x:c>
      <x:c r="R209" s="2870" t="n">
        <x:f>IF(AND(ISNUMBER(K209),K209&gt;0,ISNUMBER(P209),P209&gt;0),MIN(1,K209/P209),"")</x:f>
        <x:v>1</x:v>
      </x:c>
      <x:c r="S209" s="2870" t="n">
        <x:f>IF(AND(ISNUMBER(K209),K209&gt;0,ISNUMBER(Q209),Q209&gt;0),MIN(1,K209/Q209),"")</x:f>
        <x:v>1</x:v>
      </x:c>
      <x:c r="T209" s="2870" t="n">
        <x:f>IF(AND(ISNUMBER(R209),ISNUMBER(S209)),MIN(R209,S209),"")</x:f>
        <x:v>1</x:v>
      </x:c>
      <x:c r="U209" s="2872" t="n">
        <x:f>IF(AND(ISNUMBER(M209),ISNUMBER(T209)),(M209-T209)*100,"")</x:f>
        <x:v>-60.9</x:v>
      </x:c>
      <x:c r="V209" s="2973" t="n"/>
      <x:c r="W209" s="2870" t="n"/>
      <x:c r="X209" s="2870" t="n"/>
      <x:c r="Y209" s="2957" t="n"/>
      <x:c r="Z209" s="2870" t="n"/>
      <x:c r="AA209" s="2941" t="n"/>
      <x:c r="AB209" s="2933" t="inlineStr">
        <x:is>
          <x:t xml:space="preserve">PASS</x:t>
        </x:is>
      </x:c>
      <x:c r="AC209" s="2880" t="inlineStr">
        <x:is>
          <x:t xml:space="preserve">matmul_shared_lowp（FP8）；本轮 model-main ae058a98 + 6参数(无SoC带宽/延迟) 2026-09-26</x:t>
        </x:is>
      </x:c>
    </x:row>
    <x:row r="210" ht="20" customHeight="1">
      <x:c r="A210" s="2866" t="inlineStr">
        <x:is>
          <x:t xml:space="preserve">FP8</x:t>
        </x:is>
      </x:c>
      <x:c r="B210" s="2973" t="n">
        <x:v>64</x:v>
      </x:c>
      <x:c r="C210" s="2973" t="n">
        <x:v>128</x:v>
      </x:c>
      <x:c r="D210" s="2973" t="n">
        <x:v>7168</x:v>
      </x:c>
      <x:c r="E210" s="2973" t="n">
        <x:v>128</x:v>
      </x:c>
      <x:c r="F210" s="2973" t="n">
        <x:v>128</x:v>
      </x:c>
      <x:c r="G210" s="2973" t="n">
        <x:v>512</x:v>
      </x:c>
      <x:c r="H210" s="2974" t="n">
        <x:v>64</x:v>
      </x:c>
      <x:c r="I210" s="2974" t="n">
        <x:v>64</x:v>
      </x:c>
      <x:c r="J210" s="2974" t="n">
        <x:v>128</x:v>
      </x:c>
      <x:c r="K210" s="2975" t="n">
        <x:v>128</x:v>
      </x:c>
      <x:c r="L210" s="2973" t="n">
        <x:v>18737</x:v>
      </x:c>
      <x:c r="M210" s="2870" t="n">
        <x:f>IF(AND(ISNUMBER(L210),L210&gt;0),ROUND(B210*C210*D210/8192/L210*100,1)/100,"")</x:f>
        <x:v>0.38299999999999995</x:v>
      </x:c>
      <x:c r="N210" s="2973" t="n">
        <x:f>IF(OR(B210="",C210="",D210="",E210="",F210="",G210=""),"",ROUNDUP(B210/MIN(E210,128),0)*(C210/F210)*(D210/G210)*((MIN(B210,MIN(E210,128))+F210)*G210*1/1024))</x:f>
        <x:v>1344</x:v>
      </x:c>
      <x:c r="O210" s="2871" t="n">
        <x:f>IF(AND(ISNUMBER(N210),ISNUMBER(K210),K210&gt;0),N210*1024/K210,"")</x:f>
        <x:v>10752</x:v>
      </x:c>
      <x:c r="P210" s="2872" t="n">
        <x:f>IF(OR(E210="",F210="",G210=""),"",((H210+I210)*1024)/(E210*F210*G210/8192))</x:f>
        <x:v>128</x:v>
      </x:c>
      <x:c r="Q210" s="2872" t="n">
        <x:f>IF(OR(E210="",F210="",G210=""),"",(E210*F210*4)/(E210*F210*G210/8192))</x:f>
        <x:v>64</x:v>
      </x:c>
      <x:c r="R210" s="2870" t="n">
        <x:f>IF(AND(ISNUMBER(K210),K210&gt;0,ISNUMBER(P210),P210&gt;0),MIN(1,K210/P210),"")</x:f>
        <x:v>1</x:v>
      </x:c>
      <x:c r="S210" s="2870" t="n">
        <x:f>IF(AND(ISNUMBER(K210),K210&gt;0,ISNUMBER(Q210),Q210&gt;0),MIN(1,K210/Q210),"")</x:f>
        <x:v>1</x:v>
      </x:c>
      <x:c r="T210" s="2870" t="n">
        <x:f>IF(AND(ISNUMBER(R210),ISNUMBER(S210)),MIN(R210,S210),"")</x:f>
        <x:v>1</x:v>
      </x:c>
      <x:c r="U210" s="2872" t="n">
        <x:f>IF(AND(ISNUMBER(M210),ISNUMBER(T210)),(M210-T210)*100,"")</x:f>
        <x:v>-61.7</x:v>
      </x:c>
      <x:c r="V210" s="2973" t="n"/>
      <x:c r="W210" s="2870" t="n"/>
      <x:c r="X210" s="2870" t="n"/>
      <x:c r="Y210" s="2957" t="n"/>
      <x:c r="Z210" s="2870" t="n"/>
      <x:c r="AA210" s="2941" t="n"/>
      <x:c r="AB210" s="2933" t="inlineStr">
        <x:is>
          <x:t xml:space="preserve">PASS</x:t>
        </x:is>
      </x:c>
      <x:c r="AC210" s="2880" t="inlineStr">
        <x:is>
          <x:t xml:space="preserve">matmul_shared_lowp（FP8）；本轮 model-main ae058a98 + 6参数(无SoC带宽/延迟) 2026-09-26</x:t>
        </x:is>
      </x:c>
    </x:row>
    <x:row r="211" ht="20" customHeight="1">
      <x:c r="A211" s="2866" t="inlineStr">
        <x:is>
          <x:t xml:space="preserve">FP8</x:t>
        </x:is>
      </x:c>
      <x:c r="B211" s="2973" t="n">
        <x:v>64</x:v>
      </x:c>
      <x:c r="C211" s="2973" t="n">
        <x:v>128</x:v>
      </x:c>
      <x:c r="D211" s="2973" t="n">
        <x:v>7168</x:v>
      </x:c>
      <x:c r="E211" s="2973" t="n">
        <x:v>128</x:v>
      </x:c>
      <x:c r="F211" s="2973" t="n">
        <x:v>128</x:v>
      </x:c>
      <x:c r="G211" s="2973" t="n">
        <x:v>1024</x:v>
      </x:c>
      <x:c r="H211" s="2974" t="n">
        <x:v>128</x:v>
      </x:c>
      <x:c r="I211" s="2974" t="n">
        <x:v>128</x:v>
      </x:c>
      <x:c r="J211" s="2974" t="n">
        <x:v>256</x:v>
      </x:c>
      <x:c r="K211" s="2975" t="n">
        <x:v>128</x:v>
      </x:c>
      <x:c r="L211" s="2973" t="n">
        <x:v>30949</x:v>
      </x:c>
      <x:c r="M211" s="2870" t="n">
        <x:f>IF(AND(ISNUMBER(L211),L211&gt;0),ROUND(B211*C211*D211/8192/L211*100,1)/100,"")</x:f>
        <x:v>0.23199999999999998</x:v>
      </x:c>
      <x:c r="N211" s="2973" t="n">
        <x:f>IF(OR(B211="",C211="",D211="",E211="",F211="",G211=""),"",ROUNDUP(B211/MIN(E211,128),0)*(C211/F211)*(D211/G211)*((MIN(B211,MIN(E211,128))+F211)*G211*1/1024))</x:f>
        <x:v>1344</x:v>
      </x:c>
      <x:c r="O211" s="2871" t="n">
        <x:f>IF(AND(ISNUMBER(N211),ISNUMBER(K211),K211&gt;0),N211*1024/K211,"")</x:f>
        <x:v>10752</x:v>
      </x:c>
      <x:c r="P211" s="2872" t="n">
        <x:f>IF(OR(E211="",F211="",G211=""),"",((H211+I211)*1024)/(E211*F211*G211/8192))</x:f>
        <x:v>128</x:v>
      </x:c>
      <x:c r="Q211" s="2872" t="n">
        <x:f>IF(OR(E211="",F211="",G211=""),"",(E211*F211*4)/(E211*F211*G211/8192))</x:f>
        <x:v>32</x:v>
      </x:c>
      <x:c r="R211" s="2870" t="n">
        <x:f>IF(AND(ISNUMBER(K211),K211&gt;0,ISNUMBER(P211),P211&gt;0),MIN(1,K211/P211),"")</x:f>
        <x:v>1</x:v>
      </x:c>
      <x:c r="S211" s="2870" t="n">
        <x:f>IF(AND(ISNUMBER(K211),K211&gt;0,ISNUMBER(Q211),Q211&gt;0),MIN(1,K211/Q211),"")</x:f>
        <x:v>1</x:v>
      </x:c>
      <x:c r="T211" s="2870" t="n">
        <x:f>IF(AND(ISNUMBER(R211),ISNUMBER(S211)),MIN(R211,S211),"")</x:f>
        <x:v>1</x:v>
      </x:c>
      <x:c r="U211" s="2872" t="n">
        <x:f>IF(AND(ISNUMBER(M211),ISNUMBER(T211)),(M211-T211)*100,"")</x:f>
        <x:v>-76.8</x:v>
      </x:c>
      <x:c r="V211" s="2973" t="n"/>
      <x:c r="W211" s="2870" t="n"/>
      <x:c r="X211" s="2870" t="n"/>
      <x:c r="Y211" s="2957" t="n"/>
      <x:c r="Z211" s="2870" t="n"/>
      <x:c r="AA211" s="2941" t="n"/>
      <x:c r="AB211" s="2933" t="inlineStr">
        <x:is>
          <x:t xml:space="preserve">PASS</x:t>
        </x:is>
      </x:c>
      <x:c r="AC211" s="2880" t="inlineStr">
        <x:is>
          <x:t xml:space="preserve">matmul_shared_lowp（FP8）；本轮 model-main ae058a98 + 6参数(无SoC带宽/延迟) 2026-09-26</x:t>
        </x:is>
      </x:c>
    </x:row>
    <x:row r="212" ht="20" customHeight="1">
      <x:c r="A212" s="2822" t="inlineStr">
        <x:is>
          <x:t xml:space="preserve">MXFP8</x:t>
        </x:is>
      </x:c>
      <x:c r="B212" s="2964" t="n"/>
      <x:c r="C212" s="2964" t="n"/>
      <x:c r="D212" s="2964" t="n"/>
      <x:c r="E212" s="2964" t="n"/>
      <x:c r="F212" s="2964" t="n"/>
      <x:c r="G212" s="2964" t="n"/>
      <x:c r="H212" s="2965" t="n"/>
      <x:c r="I212" s="2965" t="n"/>
      <x:c r="J212" s="2965" t="n"/>
      <x:c r="K212" s="2966"/>
      <x:c r="L212" s="2964" t="n"/>
      <x:c r="M212" s="2826" t="str"/>
      <x:c r="N212" s="2964" t="str"/>
      <x:c r="O212" s="2827" t="str"/>
      <x:c r="P212" s="2828" t="str"/>
      <x:c r="Q212" s="2828" t="str"/>
      <x:c r="R212" s="2826" t="str"/>
      <x:c r="S212" s="2826" t="str"/>
      <x:c r="T212" s="2826" t="str"/>
      <x:c r="U212" s="2828" t="str"/>
      <x:c r="V212" s="2964" t="n"/>
      <x:c r="W212" s="2826" t="n"/>
      <x:c r="X212" s="2826" t="n"/>
      <x:c r="Y212" s="2954" t="n"/>
      <x:c r="Z212" s="2826" t="n"/>
      <x:c r="AA212" s="2822" t="n"/>
      <x:c r="AB212" s="2822" t="n"/>
      <x:c r="AC212" s="2822" t="n"/>
    </x:row>
    <x:row r="213" ht="20" customHeight="1">
      <x:c r="A213" s="2891" t="inlineStr">
        <x:is>
          <x:t xml:space="preserve">MXFP8</x:t>
        </x:is>
      </x:c>
      <x:c r="B213" s="2976" t="n">
        <x:v>64</x:v>
      </x:c>
      <x:c r="C213" s="2976" t="n">
        <x:v>128</x:v>
      </x:c>
      <x:c r="D213" s="2976" t="n">
        <x:v>7168</x:v>
      </x:c>
      <x:c r="E213" s="2976" t="n">
        <x:v>128</x:v>
      </x:c>
      <x:c r="F213" s="2976" t="n">
        <x:v>64</x:v>
      </x:c>
      <x:c r="G213" s="2976" t="n">
        <x:v>256</x:v>
      </x:c>
      <x:c r="H213" s="2977" t="n">
        <x:v>36</x:v>
      </x:c>
      <x:c r="I213" s="2977" t="n">
        <x:v>18</x:v>
      </x:c>
      <x:c r="J213" s="2977" t="n">
        <x:v>54</x:v>
      </x:c>
      <x:c r="K213" s="2978" t="n">
        <x:v>128</x:v>
      </x:c>
      <x:c r="L213" s="2976" t="n">
        <x:v>28022</x:v>
      </x:c>
      <x:c r="M213" s="2895" t="n">
        <x:f>IF(AND(ISNUMBER(L213),L213&gt;0),ROUND(B213*C213*D213/8192/L213*100,1)/100,"")</x:f>
        <x:v>0.256</x:v>
      </x:c>
      <x:c r="N213" s="2976" t="n">
        <x:f>IF(OR(B213="",C213="",D213="",E213="",F213="",G213=""),"",ROUNDUP(B213/MIN(E213,128),0)*(C213/F213)*(D213/G213)*((MIN(B213,MIN(E213,128))+F213)*G213*(33/32)/1024))</x:f>
        <x:v>1848</x:v>
      </x:c>
      <x:c r="O213" s="2896" t="n">
        <x:f>IF(AND(ISNUMBER(N213),ISNUMBER(K213),K213&gt;0),N213*1024/K213,"")</x:f>
        <x:v>14784</x:v>
      </x:c>
      <x:c r="P213" s="2897" t="n">
        <x:f>IF(OR(E213="",F213="",G213=""),"",((H213+I213)*1024)/(E213*F213*G213/8192))</x:f>
        <x:v>216</x:v>
      </x:c>
      <x:c r="Q213" s="2897" t="n">
        <x:f>IF(OR(E213="",F213="",G213=""),"",(E213*F213*4)/(E213*F213*G213/8192))</x:f>
        <x:v>128</x:v>
      </x:c>
      <x:c r="R213" s="2895" t="n">
        <x:f>IF(AND(ISNUMBER(K213),K213&gt;0,ISNUMBER(P213),P213&gt;0),MIN(1,K213/P213),"")</x:f>
        <x:v>0.5925925925925926</x:v>
      </x:c>
      <x:c r="S213" s="2895" t="n">
        <x:f>IF(AND(ISNUMBER(K213),K213&gt;0,ISNUMBER(Q213),Q213&gt;0),MIN(1,K213/Q213),"")</x:f>
        <x:v>1</x:v>
      </x:c>
      <x:c r="T213" s="2895" t="n">
        <x:f>IF(AND(ISNUMBER(R213),ISNUMBER(S213)),MIN(R213,S213),"")</x:f>
        <x:v>0.5925925925925926</x:v>
      </x:c>
      <x:c r="U213" s="2897" t="n">
        <x:f>IF(AND(ISNUMBER(M213),ISNUMBER(T213)),(M213-T213)*100,"")</x:f>
        <x:v>-33.65925925925926</x:v>
      </x:c>
      <x:c r="V213" s="2976" t="n"/>
      <x:c r="W213" s="2895" t="n"/>
      <x:c r="X213" s="2895" t="n"/>
      <x:c r="Y213" s="2958" t="n"/>
      <x:c r="Z213" s="2895" t="n"/>
      <x:c r="AA213" s="2942" t="n"/>
      <x:c r="AB213" s="2935" t="inlineStr">
        <x:is>
          <x:t xml:space="preserve">PASS</x:t>
        </x:is>
      </x:c>
      <x:c r="AC213" s="2905" t="inlineStr">
        <x:is>
          <x:t xml:space="preserve">matmul_shared_lowp（MXFP8）；本轮 model-main ae058a98 + 6参数(无SoC带宽/延迟) 2026-09-26</x:t>
        </x:is>
      </x:c>
    </x:row>
    <x:row r="214" ht="20" customHeight="1">
      <x:c r="A214" s="2891" t="inlineStr">
        <x:is>
          <x:t xml:space="preserve">MXFP8</x:t>
        </x:is>
      </x:c>
      <x:c r="B214" s="2976" t="n">
        <x:v>64</x:v>
      </x:c>
      <x:c r="C214" s="2976" t="n">
        <x:v>128</x:v>
      </x:c>
      <x:c r="D214" s="2976" t="n">
        <x:v>7168</x:v>
      </x:c>
      <x:c r="E214" s="2976" t="n">
        <x:v>128</x:v>
      </x:c>
      <x:c r="F214" s="2976" t="n">
        <x:v>64</x:v>
      </x:c>
      <x:c r="G214" s="2976" t="n">
        <x:v>512</x:v>
      </x:c>
      <x:c r="H214" s="2977" t="n">
        <x:v>68</x:v>
      </x:c>
      <x:c r="I214" s="2977" t="n">
        <x:v>34</x:v>
      </x:c>
      <x:c r="J214" s="2977" t="n">
        <x:v>102</x:v>
      </x:c>
      <x:c r="K214" s="2978" t="n">
        <x:v>128</x:v>
      </x:c>
      <x:c r="L214" s="2976" t="n">
        <x:v>28431</x:v>
      </x:c>
      <x:c r="M214" s="2895" t="n">
        <x:f>IF(AND(ISNUMBER(L214),L214&gt;0),ROUND(B214*C214*D214/8192/L214*100,1)/100,"")</x:f>
        <x:v>0.252</x:v>
      </x:c>
      <x:c r="N214" s="2976" t="n">
        <x:f>IF(OR(B214="",C214="",D214="",E214="",F214="",G214=""),"",ROUNDUP(B214/MIN(E214,128),0)*(C214/F214)*(D214/G214)*((MIN(B214,MIN(E214,128))+F214)*G214*(33/32)/1024))</x:f>
        <x:v>1848</x:v>
      </x:c>
      <x:c r="O214" s="2896" t="n">
        <x:f>IF(AND(ISNUMBER(N214),ISNUMBER(K214),K214&gt;0),N214*1024/K214,"")</x:f>
        <x:v>14784</x:v>
      </x:c>
      <x:c r="P214" s="2897" t="n">
        <x:f>IF(OR(E214="",F214="",G214=""),"",((H214+I214)*1024)/(E214*F214*G214/8192))</x:f>
        <x:v>204</x:v>
      </x:c>
      <x:c r="Q214" s="2897" t="n">
        <x:f>IF(OR(E214="",F214="",G214=""),"",(E214*F214*4)/(E214*F214*G214/8192))</x:f>
        <x:v>64</x:v>
      </x:c>
      <x:c r="R214" s="2895" t="n">
        <x:f>IF(AND(ISNUMBER(K214),K214&gt;0,ISNUMBER(P214),P214&gt;0),MIN(1,K214/P214),"")</x:f>
        <x:v>0.6274509803921569</x:v>
      </x:c>
      <x:c r="S214" s="2895" t="n">
        <x:f>IF(AND(ISNUMBER(K214),K214&gt;0,ISNUMBER(Q214),Q214&gt;0),MIN(1,K214/Q214),"")</x:f>
        <x:v>1</x:v>
      </x:c>
      <x:c r="T214" s="2895" t="n">
        <x:f>IF(AND(ISNUMBER(R214),ISNUMBER(S214)),MIN(R214,S214),"")</x:f>
        <x:v>0.6274509803921569</x:v>
      </x:c>
      <x:c r="U214" s="2897" t="n">
        <x:f>IF(AND(ISNUMBER(M214),ISNUMBER(T214)),(M214-T214)*100,"")</x:f>
        <x:v>-37.54509803921569</x:v>
      </x:c>
      <x:c r="V214" s="2976" t="n"/>
      <x:c r="W214" s="2895" t="n"/>
      <x:c r="X214" s="2895" t="n"/>
      <x:c r="Y214" s="2958" t="n"/>
      <x:c r="Z214" s="2895" t="n"/>
      <x:c r="AA214" s="2942" t="n"/>
      <x:c r="AB214" s="2935" t="inlineStr">
        <x:is>
          <x:t xml:space="preserve">PASS</x:t>
        </x:is>
      </x:c>
      <x:c r="AC214" s="2905" t="inlineStr">
        <x:is>
          <x:t xml:space="preserve">matmul_shared_lowp（MXFP8）；本轮 model-main ae058a98 + 6参数(无SoC带宽/延迟) 2026-09-26</x:t>
        </x:is>
      </x:c>
    </x:row>
    <x:row r="215" ht="20" customHeight="1">
      <x:c r="A215" s="2891" t="inlineStr">
        <x:is>
          <x:t xml:space="preserve">MXFP8</x:t>
        </x:is>
      </x:c>
      <x:c r="B215" s="2976" t="n">
        <x:v>64</x:v>
      </x:c>
      <x:c r="C215" s="2976" t="n">
        <x:v>128</x:v>
      </x:c>
      <x:c r="D215" s="2976" t="n">
        <x:v>7168</x:v>
      </x:c>
      <x:c r="E215" s="2976" t="n">
        <x:v>128</x:v>
      </x:c>
      <x:c r="F215" s="2976" t="n">
        <x:v>64</x:v>
      </x:c>
      <x:c r="G215" s="2976" t="n">
        <x:v>1024</x:v>
      </x:c>
      <x:c r="H215" s="2977" t="n">
        <x:v>132</x:v>
      </x:c>
      <x:c r="I215" s="2977" t="n">
        <x:v>66</x:v>
      </x:c>
      <x:c r="J215" s="2977" t="n">
        <x:v>198</x:v>
      </x:c>
      <x:c r="K215" s="2978" t="n">
        <x:v>128</x:v>
      </x:c>
      <x:c r="L215" s="2976" t="n">
        <x:v>47694</x:v>
      </x:c>
      <x:c r="M215" s="2895" t="n">
        <x:f>IF(AND(ISNUMBER(L215),L215&gt;0),ROUND(B215*C215*D215/8192/L215*100,1)/100,"")</x:f>
        <x:v>0.15</x:v>
      </x:c>
      <x:c r="N215" s="2976" t="n">
        <x:f>IF(OR(B215="",C215="",D215="",E215="",F215="",G215=""),"",ROUNDUP(B215/MIN(E215,128),0)*(C215/F215)*(D215/G215)*((MIN(B215,MIN(E215,128))+F215)*G215*(33/32)/1024))</x:f>
        <x:v>1848</x:v>
      </x:c>
      <x:c r="O215" s="2896" t="n">
        <x:f>IF(AND(ISNUMBER(N215),ISNUMBER(K215),K215&gt;0),N215*1024/K215,"")</x:f>
        <x:v>14784</x:v>
      </x:c>
      <x:c r="P215" s="2897" t="n">
        <x:f>IF(OR(E215="",F215="",G215=""),"",((H215+I215)*1024)/(E215*F215*G215/8192))</x:f>
        <x:v>198</x:v>
      </x:c>
      <x:c r="Q215" s="2897" t="n">
        <x:f>IF(OR(E215="",F215="",G215=""),"",(E215*F215*4)/(E215*F215*G215/8192))</x:f>
        <x:v>32</x:v>
      </x:c>
      <x:c r="R215" s="2895" t="n">
        <x:f>IF(AND(ISNUMBER(K215),K215&gt;0,ISNUMBER(P215),P215&gt;0),MIN(1,K215/P215),"")</x:f>
        <x:v>0.6464646464646465</x:v>
      </x:c>
      <x:c r="S215" s="2895" t="n">
        <x:f>IF(AND(ISNUMBER(K215),K215&gt;0,ISNUMBER(Q215),Q215&gt;0),MIN(1,K215/Q215),"")</x:f>
        <x:v>1</x:v>
      </x:c>
      <x:c r="T215" s="2895" t="n">
        <x:f>IF(AND(ISNUMBER(R215),ISNUMBER(S215)),MIN(R215,S215),"")</x:f>
        <x:v>0.6464646464646465</x:v>
      </x:c>
      <x:c r="U215" s="2897" t="n">
        <x:f>IF(AND(ISNUMBER(M215),ISNUMBER(T215)),(M215-T215)*100,"")</x:f>
        <x:v>-49.64646464646465</x:v>
      </x:c>
      <x:c r="V215" s="2976" t="n"/>
      <x:c r="W215" s="2895" t="n"/>
      <x:c r="X215" s="2895" t="n"/>
      <x:c r="Y215" s="2958" t="n"/>
      <x:c r="Z215" s="2895" t="n"/>
      <x:c r="AA215" s="2942" t="n"/>
      <x:c r="AB215" s="2935" t="inlineStr">
        <x:is>
          <x:t xml:space="preserve">PASS</x:t>
        </x:is>
      </x:c>
      <x:c r="AC215" s="2905" t="inlineStr">
        <x:is>
          <x:t xml:space="preserve">matmul_shared_lowp（MXFP8）；本轮 model-main ae058a98 + 6参数(无SoC带宽/延迟) 2026-09-26</x:t>
        </x:is>
      </x:c>
    </x:row>
    <x:row r="216" ht="20" customHeight="1">
      <x:c r="A216" s="2891" t="inlineStr">
        <x:is>
          <x:t xml:space="preserve">MXFP8</x:t>
        </x:is>
      </x:c>
      <x:c r="B216" s="2976" t="n">
        <x:v>64</x:v>
      </x:c>
      <x:c r="C216" s="2976" t="n">
        <x:v>128</x:v>
      </x:c>
      <x:c r="D216" s="2976" t="n">
        <x:v>7168</x:v>
      </x:c>
      <x:c r="E216" s="2976" t="n">
        <x:v>128</x:v>
      </x:c>
      <x:c r="F216" s="2976" t="n">
        <x:v>128</x:v>
      </x:c>
      <x:c r="G216" s="2976" t="n">
        <x:v>256</x:v>
      </x:c>
      <x:c r="H216" s="2977" t="n">
        <x:v>36</x:v>
      </x:c>
      <x:c r="I216" s="2977" t="n">
        <x:v>36</x:v>
      </x:c>
      <x:c r="J216" s="2977" t="n">
        <x:v>72</x:v>
      </x:c>
      <x:c r="K216" s="2978" t="n">
        <x:v>128</x:v>
      </x:c>
      <x:c r="L216" s="2976" t="n">
        <x:v>21431</x:v>
      </x:c>
      <x:c r="M216" s="2895" t="n">
        <x:f>IF(AND(ISNUMBER(L216),L216&gt;0),ROUND(B216*C216*D216/8192/L216*100,1)/100,"")</x:f>
        <x:v>0.33399999999999996</x:v>
      </x:c>
      <x:c r="N216" s="2976" t="n">
        <x:f>IF(OR(B216="",C216="",D216="",E216="",F216="",G216=""),"",ROUNDUP(B216/MIN(E216,128),0)*(C216/F216)*(D216/G216)*((MIN(B216,MIN(E216,128))+F216)*G216*(33/32)/1024))</x:f>
        <x:v>1386</x:v>
      </x:c>
      <x:c r="O216" s="2896" t="n">
        <x:f>IF(AND(ISNUMBER(N216),ISNUMBER(K216),K216&gt;0),N216*1024/K216,"")</x:f>
        <x:v>11088</x:v>
      </x:c>
      <x:c r="P216" s="2897" t="n">
        <x:f>IF(OR(E216="",F216="",G216=""),"",((H216+I216)*1024)/(E216*F216*G216/8192))</x:f>
        <x:v>144</x:v>
      </x:c>
      <x:c r="Q216" s="2897" t="n">
        <x:f>IF(OR(E216="",F216="",G216=""),"",(E216*F216*4)/(E216*F216*G216/8192))</x:f>
        <x:v>128</x:v>
      </x:c>
      <x:c r="R216" s="2895" t="n">
        <x:f>IF(AND(ISNUMBER(K216),K216&gt;0,ISNUMBER(P216),P216&gt;0),MIN(1,K216/P216),"")</x:f>
        <x:v>0.8888888888888888</x:v>
      </x:c>
      <x:c r="S216" s="2895" t="n">
        <x:f>IF(AND(ISNUMBER(K216),K216&gt;0,ISNUMBER(Q216),Q216&gt;0),MIN(1,K216/Q216),"")</x:f>
        <x:v>1</x:v>
      </x:c>
      <x:c r="T216" s="2895" t="n">
        <x:f>IF(AND(ISNUMBER(R216),ISNUMBER(S216)),MIN(R216,S216),"")</x:f>
        <x:v>0.8888888888888888</x:v>
      </x:c>
      <x:c r="U216" s="2897" t="n">
        <x:f>IF(AND(ISNUMBER(M216),ISNUMBER(T216)),(M216-T216)*100,"")</x:f>
        <x:v>-55.48888888888889</x:v>
      </x:c>
      <x:c r="V216" s="2976" t="n"/>
      <x:c r="W216" s="2895" t="n"/>
      <x:c r="X216" s="2895" t="n"/>
      <x:c r="Y216" s="2958" t="n"/>
      <x:c r="Z216" s="2895" t="n"/>
      <x:c r="AA216" s="2942" t="n"/>
      <x:c r="AB216" s="2935" t="inlineStr">
        <x:is>
          <x:t xml:space="preserve">PASS</x:t>
        </x:is>
      </x:c>
      <x:c r="AC216" s="2905" t="inlineStr">
        <x:is>
          <x:t xml:space="preserve">matmul_shared_lowp（MXFP8）；本轮 model-main ae058a98 + 6参数(无SoC带宽/延迟) 2026-09-26</x:t>
        </x:is>
      </x:c>
    </x:row>
    <x:row r="217" ht="20" customHeight="1">
      <x:c r="A217" s="2891" t="inlineStr">
        <x:is>
          <x:t xml:space="preserve">MXFP8</x:t>
        </x:is>
      </x:c>
      <x:c r="B217" s="2976" t="n">
        <x:v>64</x:v>
      </x:c>
      <x:c r="C217" s="2976" t="n">
        <x:v>128</x:v>
      </x:c>
      <x:c r="D217" s="2976" t="n">
        <x:v>7168</x:v>
      </x:c>
      <x:c r="E217" s="2976" t="n">
        <x:v>128</x:v>
      </x:c>
      <x:c r="F217" s="2976" t="n">
        <x:v>128</x:v>
      </x:c>
      <x:c r="G217" s="2976" t="n">
        <x:v>512</x:v>
      </x:c>
      <x:c r="H217" s="2977" t="n">
        <x:v>68</x:v>
      </x:c>
      <x:c r="I217" s="2977" t="n">
        <x:v>68</x:v>
      </x:c>
      <x:c r="J217" s="2977" t="n">
        <x:v>136</x:v>
      </x:c>
      <x:c r="K217" s="2978" t="n">
        <x:v>128</x:v>
      </x:c>
      <x:c r="L217" s="2976" t="n">
        <x:v>33351</x:v>
      </x:c>
      <x:c r="M217" s="2895" t="n">
        <x:f>IF(AND(ISNUMBER(L217),L217&gt;0),ROUND(B217*C217*D217/8192/L217*100,1)/100,"")</x:f>
        <x:v>0.215</x:v>
      </x:c>
      <x:c r="N217" s="2976" t="n">
        <x:f>IF(OR(B217="",C217="",D217="",E217="",F217="",G217=""),"",ROUNDUP(B217/MIN(E217,128),0)*(C217/F217)*(D217/G217)*((MIN(B217,MIN(E217,128))+F217)*G217*(33/32)/1024))</x:f>
        <x:v>1386</x:v>
      </x:c>
      <x:c r="O217" s="2896" t="n">
        <x:f>IF(AND(ISNUMBER(N217),ISNUMBER(K217),K217&gt;0),N217*1024/K217,"")</x:f>
        <x:v>11088</x:v>
      </x:c>
      <x:c r="P217" s="2897" t="n">
        <x:f>IF(OR(E217="",F217="",G217=""),"",((H217+I217)*1024)/(E217*F217*G217/8192))</x:f>
        <x:v>136</x:v>
      </x:c>
      <x:c r="Q217" s="2897" t="n">
        <x:f>IF(OR(E217="",F217="",G217=""),"",(E217*F217*4)/(E217*F217*G217/8192))</x:f>
        <x:v>64</x:v>
      </x:c>
      <x:c r="R217" s="2895" t="n">
        <x:f>IF(AND(ISNUMBER(K217),K217&gt;0,ISNUMBER(P217),P217&gt;0),MIN(1,K217/P217),"")</x:f>
        <x:v>0.9411764705882353</x:v>
      </x:c>
      <x:c r="S217" s="2895" t="n">
        <x:f>IF(AND(ISNUMBER(K217),K217&gt;0,ISNUMBER(Q217),Q217&gt;0),MIN(1,K217/Q217),"")</x:f>
        <x:v>1</x:v>
      </x:c>
      <x:c r="T217" s="2895" t="n">
        <x:f>IF(AND(ISNUMBER(R217),ISNUMBER(S217)),MIN(R217,S217),"")</x:f>
        <x:v>0.9411764705882353</x:v>
      </x:c>
      <x:c r="U217" s="2897" t="n">
        <x:f>IF(AND(ISNUMBER(M217),ISNUMBER(T217)),(M217-T217)*100,"")</x:f>
        <x:v>-72.61764705882354</x:v>
      </x:c>
      <x:c r="V217" s="2976" t="n"/>
      <x:c r="W217" s="2895" t="n"/>
      <x:c r="X217" s="2895" t="n"/>
      <x:c r="Y217" s="2958" t="n"/>
      <x:c r="Z217" s="2895" t="n"/>
      <x:c r="AA217" s="2942" t="n"/>
      <x:c r="AB217" s="2935" t="inlineStr">
        <x:is>
          <x:t xml:space="preserve">PASS</x:t>
        </x:is>
      </x:c>
      <x:c r="AC217" s="2905" t="inlineStr">
        <x:is>
          <x:t xml:space="preserve">matmul_shared_lowp（MXFP8）；本轮 model-main ae058a98 + 6参数(无SoC带宽/延迟) 2026-09-26</x:t>
        </x:is>
      </x:c>
    </x:row>
    <x:row r="218" ht="20" customHeight="1">
      <x:c r="A218" s="2891" t="inlineStr">
        <x:is>
          <x:t xml:space="preserve">MXFP8</x:t>
        </x:is>
      </x:c>
      <x:c r="B218" s="2976" t="n">
        <x:v>64</x:v>
      </x:c>
      <x:c r="C218" s="2976" t="n">
        <x:v>128</x:v>
      </x:c>
      <x:c r="D218" s="2976" t="n">
        <x:v>7168</x:v>
      </x:c>
      <x:c r="E218" s="2976" t="n">
        <x:v>128</x:v>
      </x:c>
      <x:c r="F218" s="2976" t="n">
        <x:v>128</x:v>
      </x:c>
      <x:c r="G218" s="2976" t="n">
        <x:v>1024</x:v>
      </x:c>
      <x:c r="H218" s="2977" t="n">
        <x:v>132</x:v>
      </x:c>
      <x:c r="I218" s="2977" t="n">
        <x:v>132</x:v>
      </x:c>
      <x:c r="J218" s="2977" t="n">
        <x:v>264</x:v>
      </x:c>
      <x:c r="K218" s="2978" t="n">
        <x:v>128</x:v>
      </x:c>
      <x:c r="L218" s="2976" t="inlineStr">
        <x:is>
          <x:t xml:space="preserve">—</x:t>
        </x:is>
      </x:c>
      <x:c r="M218" s="2895" t="str">
        <x:f>IF(AND(ISNUMBER(L218),L218&gt;0),ROUND(B218*C218*D218/8192/L218*100,1)/100,"")</x:f>
      </x:c>
      <x:c r="N218" s="2976" t="n">
        <x:f>IF(OR(B218="",C218="",D218="",E218="",F218="",G218=""),"",ROUNDUP(B218/MIN(E218,128),0)*(C218/F218)*(D218/G218)*((MIN(B218,MIN(E218,128))+F218)*G218*(33/32)/1024))</x:f>
        <x:v>1386</x:v>
      </x:c>
      <x:c r="O218" s="2896" t="n">
        <x:f>IF(AND(ISNUMBER(N218),ISNUMBER(K218),K218&gt;0),N218*1024/K218,"")</x:f>
        <x:v>11088</x:v>
      </x:c>
      <x:c r="P218" s="2897" t="n">
        <x:f>IF(OR(E218="",F218="",G218=""),"",((H218+I218)*1024)/(E218*F218*G218/8192))</x:f>
        <x:v>132</x:v>
      </x:c>
      <x:c r="Q218" s="2897" t="n">
        <x:f>IF(OR(E218="",F218="",G218=""),"",(E218*F218*4)/(E218*F218*G218/8192))</x:f>
        <x:v>32</x:v>
      </x:c>
      <x:c r="R218" s="2895" t="n">
        <x:f>IF(AND(ISNUMBER(K218),K218&gt;0,ISNUMBER(P218),P218&gt;0),MIN(1,K218/P218),"")</x:f>
        <x:v>0.9696969696969697</x:v>
      </x:c>
      <x:c r="S218" s="2895" t="n">
        <x:f>IF(AND(ISNUMBER(K218),K218&gt;0,ISNUMBER(Q218),Q218&gt;0),MIN(1,K218/Q218),"")</x:f>
        <x:v>1</x:v>
      </x:c>
      <x:c r="T218" s="2895" t="n">
        <x:f>IF(AND(ISNUMBER(R218),ISNUMBER(S218)),MIN(R218,S218),"")</x:f>
        <x:v>0.9696969696969697</x:v>
      </x:c>
      <x:c r="U218" s="2897" t="str">
        <x:f>IF(AND(ISNUMBER(M218),ISNUMBER(T218)),(M218-T218)*100,"")</x:f>
      </x:c>
      <x:c r="V218" s="2976" t="n"/>
      <x:c r="W218" s="2895" t="n"/>
      <x:c r="X218" s="2895" t="n"/>
      <x:c r="Y218" s="2958" t="n"/>
      <x:c r="Z218" s="2895" t="n"/>
      <x:c r="AA218" s="2942" t="n"/>
      <x:c r="AB218" s="2936" t="inlineStr">
        <x:is>
          <x:t xml:space="preserve">COMPILE_FAIL</x:t>
        </x:is>
      </x:c>
      <x:c r="AC218" s="2905" t="inlineStr">
        <x:is>
          <x:t xml:space="preserve">容量超限：完整 SharedTile 足迹 &gt; 256 KiB；本轮 model-main 9b3a4405 + 8参数(256KB ShareTReg) 2026-09-22</x:t>
        </x:is>
      </x:c>
    </x:row>
    <x:row r="219" ht="20" customHeight="1">
      <x:c r="A219" s="2822" t="inlineStr">
        <x:is>
          <x:t xml:space="preserve">MXFP4</x:t>
        </x:is>
      </x:c>
      <x:c r="B219" s="2964" t="n"/>
      <x:c r="C219" s="2964" t="n"/>
      <x:c r="D219" s="2964" t="n"/>
      <x:c r="E219" s="2964" t="n"/>
      <x:c r="F219" s="2964" t="n"/>
      <x:c r="G219" s="2964" t="n"/>
      <x:c r="H219" s="2965" t="n"/>
      <x:c r="I219" s="2965" t="n"/>
      <x:c r="J219" s="2965" t="n"/>
      <x:c r="K219" s="2966"/>
      <x:c r="L219" s="2964" t="n"/>
      <x:c r="M219" s="2826" t="str"/>
      <x:c r="N219" s="2964" t="str"/>
      <x:c r="O219" s="2827" t="str"/>
      <x:c r="P219" s="2828" t="str"/>
      <x:c r="Q219" s="2828" t="str"/>
      <x:c r="R219" s="2826" t="str"/>
      <x:c r="S219" s="2826" t="str"/>
      <x:c r="T219" s="2826" t="str"/>
      <x:c r="U219" s="2828" t="str"/>
      <x:c r="V219" s="2964" t="n"/>
      <x:c r="W219" s="2826" t="n"/>
      <x:c r="X219" s="2826" t="n"/>
      <x:c r="Y219" s="2954" t="n"/>
      <x:c r="Z219" s="2826" t="n"/>
      <x:c r="AA219" s="2822" t="n"/>
      <x:c r="AB219" s="2822" t="n"/>
      <x:c r="AC219" s="2822" t="n"/>
    </x:row>
    <x:row r="220" ht="20" customHeight="1">
      <x:c r="A220" s="2916" t="inlineStr">
        <x:is>
          <x:t xml:space="preserve">MXFP4</x:t>
        </x:is>
      </x:c>
      <x:c r="B220" s="2979" t="n">
        <x:v>64</x:v>
      </x:c>
      <x:c r="C220" s="2979" t="n">
        <x:v>128</x:v>
      </x:c>
      <x:c r="D220" s="2979" t="n">
        <x:v>7168</x:v>
      </x:c>
      <x:c r="E220" s="2979" t="n">
        <x:v>128</x:v>
      </x:c>
      <x:c r="F220" s="2979" t="n">
        <x:v>64</x:v>
      </x:c>
      <x:c r="G220" s="2979" t="n">
        <x:v>256</x:v>
      </x:c>
      <x:c r="H220" s="2980" t="n">
        <x:v>36</x:v>
      </x:c>
      <x:c r="I220" s="2980" t="n">
        <x:v>18</x:v>
      </x:c>
      <x:c r="J220" s="2980" t="n">
        <x:v>54</x:v>
      </x:c>
      <x:c r="K220" s="2981" t="n">
        <x:v>128</x:v>
      </x:c>
      <x:c r="L220" s="2979" t="n">
        <x:v>29992</x:v>
      </x:c>
      <x:c r="M220" s="2920" t="n">
        <x:f>IF(AND(ISNUMBER(L220),L220&gt;0),ROUND(B220*C220*D220/16384/L220*100,1)/100,"")</x:f>
        <x:v>0.11900000000000001</x:v>
      </x:c>
      <x:c r="N220" s="2979" t="n">
        <x:f>IF(OR(B220="",C220="",D220="",E220="",F220="",G220=""),"",ROUNDUP(B220/MIN(E220,128),0)*(C220/F220)*(D220/G220)*((MIN(B220,MIN(E220,128))+F220)*G220*(17/32)/1024))</x:f>
        <x:v>952</x:v>
      </x:c>
      <x:c r="O220" s="2921" t="n">
        <x:f>IF(AND(ISNUMBER(N220),ISNUMBER(K220),K220&gt;0),N220*1024/K220,"")</x:f>
        <x:v>7616</x:v>
      </x:c>
      <x:c r="P220" s="2922" t="n">
        <x:f>IF(OR(E220="",F220="",G220=""),"",((H220+I220)*1024)/(E220*F220*G220/16384))</x:f>
        <x:v>432</x:v>
      </x:c>
      <x:c r="Q220" s="2922" t="n">
        <x:f>IF(OR(E220="",F220="",G220=""),"",(E220*F220*4)/(E220*F220*G220/16384))</x:f>
        <x:v>256</x:v>
      </x:c>
      <x:c r="R220" s="2920" t="n">
        <x:f>IF(AND(ISNUMBER(K220),K220&gt;0,ISNUMBER(P220),P220&gt;0),MIN(1,K220/P220),"")</x:f>
        <x:v>0.2962962962962963</x:v>
      </x:c>
      <x:c r="S220" s="2920" t="n">
        <x:f>IF(AND(ISNUMBER(K220),K220&gt;0,ISNUMBER(Q220),Q220&gt;0),MIN(1,K220/Q220),"")</x:f>
        <x:v>0.5</x:v>
      </x:c>
      <x:c r="T220" s="2920" t="n">
        <x:f>IF(AND(ISNUMBER(R220),ISNUMBER(S220)),MIN(R220,S220),"")</x:f>
        <x:v>0.2962962962962963</x:v>
      </x:c>
      <x:c r="U220" s="2922" t="n">
        <x:f>IF(AND(ISNUMBER(M220),ISNUMBER(T220)),(M220-T220)*100,"")</x:f>
        <x:v>-17.729629629629628</x:v>
      </x:c>
      <x:c r="V220" s="2979" t="n"/>
      <x:c r="W220" s="2920" t="n"/>
      <x:c r="X220" s="2920" t="n"/>
      <x:c r="Y220" s="2959" t="n"/>
      <x:c r="Z220" s="2920" t="n"/>
      <x:c r="AA220" s="2937" t="n"/>
      <x:c r="AB220" s="2938" t="inlineStr">
        <x:is>
          <x:t xml:space="preserve">PASS</x:t>
        </x:is>
      </x:c>
      <x:c r="AC220" s="2930" t="inlineStr">
        <x:is>
          <x:t xml:space="preserve">matmul_shared_lowp（MXFP4）；本轮 model-main ae058a98 + 6参数(无SoC带宽/延迟) 2026-09-26</x:t>
        </x:is>
      </x:c>
    </x:row>
    <x:row r="221" ht="20" customHeight="1">
      <x:c r="A221" s="2916" t="inlineStr">
        <x:is>
          <x:t xml:space="preserve">MXFP4</x:t>
        </x:is>
      </x:c>
      <x:c r="B221" s="2979" t="n">
        <x:v>64</x:v>
      </x:c>
      <x:c r="C221" s="2979" t="n">
        <x:v>128</x:v>
      </x:c>
      <x:c r="D221" s="2979" t="n">
        <x:v>7168</x:v>
      </x:c>
      <x:c r="E221" s="2979" t="n">
        <x:v>128</x:v>
      </x:c>
      <x:c r="F221" s="2979" t="n">
        <x:v>64</x:v>
      </x:c>
      <x:c r="G221" s="2979" t="n">
        <x:v>512</x:v>
      </x:c>
      <x:c r="H221" s="2980" t="n">
        <x:v>68</x:v>
      </x:c>
      <x:c r="I221" s="2980" t="n">
        <x:v>34</x:v>
      </x:c>
      <x:c r="J221" s="2980" t="n">
        <x:v>102</x:v>
      </x:c>
      <x:c r="K221" s="2981" t="n">
        <x:v>128</x:v>
      </x:c>
      <x:c r="L221" s="2979" t="n">
        <x:v>29679</x:v>
      </x:c>
      <x:c r="M221" s="2920" t="n">
        <x:f>IF(AND(ISNUMBER(L221),L221&gt;0),ROUND(B221*C221*D221/16384/L221*100,1)/100,"")</x:f>
        <x:v>0.121</x:v>
      </x:c>
      <x:c r="N221" s="2979" t="n">
        <x:f>IF(OR(B221="",C221="",D221="",E221="",F221="",G221=""),"",ROUNDUP(B221/MIN(E221,128),0)*(C221/F221)*(D221/G221)*((MIN(B221,MIN(E221,128))+F221)*G221*(17/32)/1024))</x:f>
        <x:v>952</x:v>
      </x:c>
      <x:c r="O221" s="2921" t="n">
        <x:f>IF(AND(ISNUMBER(N221),ISNUMBER(K221),K221&gt;0),N221*1024/K221,"")</x:f>
        <x:v>7616</x:v>
      </x:c>
      <x:c r="P221" s="2922" t="n">
        <x:f>IF(OR(E221="",F221="",G221=""),"",((H221+I221)*1024)/(E221*F221*G221/16384))</x:f>
        <x:v>408</x:v>
      </x:c>
      <x:c r="Q221" s="2922" t="n">
        <x:f>IF(OR(E221="",F221="",G221=""),"",(E221*F221*4)/(E221*F221*G221/16384))</x:f>
        <x:v>128</x:v>
      </x:c>
      <x:c r="R221" s="2920" t="n">
        <x:f>IF(AND(ISNUMBER(K221),K221&gt;0,ISNUMBER(P221),P221&gt;0),MIN(1,K221/P221),"")</x:f>
        <x:v>0.3137254901960784</x:v>
      </x:c>
      <x:c r="S221" s="2920" t="n">
        <x:f>IF(AND(ISNUMBER(K221),K221&gt;0,ISNUMBER(Q221),Q221&gt;0),MIN(1,K221/Q221),"")</x:f>
        <x:v>1</x:v>
      </x:c>
      <x:c r="T221" s="2920" t="n">
        <x:f>IF(AND(ISNUMBER(R221),ISNUMBER(S221)),MIN(R221,S221),"")</x:f>
        <x:v>0.3137254901960784</x:v>
      </x:c>
      <x:c r="U221" s="2922" t="n">
        <x:f>IF(AND(ISNUMBER(M221),ISNUMBER(T221)),(M221-T221)*100,"")</x:f>
        <x:v>-19.272549019607844</x:v>
      </x:c>
      <x:c r="V221" s="2979" t="n"/>
      <x:c r="W221" s="2920" t="n"/>
      <x:c r="X221" s="2920" t="n"/>
      <x:c r="Y221" s="2959" t="n"/>
      <x:c r="Z221" s="2920" t="n"/>
      <x:c r="AA221" s="2937" t="n"/>
      <x:c r="AB221" s="2938" t="inlineStr">
        <x:is>
          <x:t xml:space="preserve">PASS</x:t>
        </x:is>
      </x:c>
      <x:c r="AC221" s="2930" t="inlineStr">
        <x:is>
          <x:t xml:space="preserve">matmul_shared_lowp（MXFP4）；本轮 model-main ae058a98 + 6参数(无SoC带宽/延迟) 2026-09-26</x:t>
        </x:is>
      </x:c>
    </x:row>
    <x:row r="222" ht="20" customHeight="1">
      <x:c r="A222" s="2916" t="inlineStr">
        <x:is>
          <x:t xml:space="preserve">MXFP4</x:t>
        </x:is>
      </x:c>
      <x:c r="B222" s="2979" t="n">
        <x:v>64</x:v>
      </x:c>
      <x:c r="C222" s="2979" t="n">
        <x:v>128</x:v>
      </x:c>
      <x:c r="D222" s="2979" t="n">
        <x:v>7168</x:v>
      </x:c>
      <x:c r="E222" s="2979" t="n">
        <x:v>128</x:v>
      </x:c>
      <x:c r="F222" s="2979" t="n">
        <x:v>64</x:v>
      </x:c>
      <x:c r="G222" s="2979" t="n">
        <x:v>1024</x:v>
      </x:c>
      <x:c r="H222" s="2980" t="n">
        <x:v>132</x:v>
      </x:c>
      <x:c r="I222" s="2980" t="n">
        <x:v>66</x:v>
      </x:c>
      <x:c r="J222" s="2980" t="n">
        <x:v>198</x:v>
      </x:c>
      <x:c r="K222" s="2981" t="n">
        <x:v>128</x:v>
      </x:c>
      <x:c r="L222" s="2979" t="n">
        <x:v>44350</x:v>
      </x:c>
      <x:c r="M222" s="2920" t="n">
        <x:f>IF(AND(ISNUMBER(L222),L222&gt;0),ROUND(B222*C222*D222/16384/L222*100,1)/100,"")</x:f>
        <x:v>0.081</x:v>
      </x:c>
      <x:c r="N222" s="2979" t="n">
        <x:f>IF(OR(B222="",C222="",D222="",E222="",F222="",G222=""),"",ROUNDUP(B222/MIN(E222,128),0)*(C222/F222)*(D222/G222)*((MIN(B222,MIN(E222,128))+F222)*G222*(17/32)/1024))</x:f>
        <x:v>952</x:v>
      </x:c>
      <x:c r="O222" s="2921" t="n">
        <x:f>IF(AND(ISNUMBER(N222),ISNUMBER(K222),K222&gt;0),N222*1024/K222,"")</x:f>
        <x:v>7616</x:v>
      </x:c>
      <x:c r="P222" s="2922" t="n">
        <x:f>IF(OR(E222="",F222="",G222=""),"",((H222+I222)*1024)/(E222*F222*G222/16384))</x:f>
        <x:v>396</x:v>
      </x:c>
      <x:c r="Q222" s="2922" t="n">
        <x:f>IF(OR(E222="",F222="",G222=""),"",(E222*F222*4)/(E222*F222*G222/16384))</x:f>
        <x:v>64</x:v>
      </x:c>
      <x:c r="R222" s="2920" t="n">
        <x:f>IF(AND(ISNUMBER(K222),K222&gt;0,ISNUMBER(P222),P222&gt;0),MIN(1,K222/P222),"")</x:f>
        <x:v>0.32323232323232326</x:v>
      </x:c>
      <x:c r="S222" s="2920" t="n">
        <x:f>IF(AND(ISNUMBER(K222),K222&gt;0,ISNUMBER(Q222),Q222&gt;0),MIN(1,K222/Q222),"")</x:f>
        <x:v>1</x:v>
      </x:c>
      <x:c r="T222" s="2920" t="n">
        <x:f>IF(AND(ISNUMBER(R222),ISNUMBER(S222)),MIN(R222,S222),"")</x:f>
        <x:v>0.32323232323232326</x:v>
      </x:c>
      <x:c r="U222" s="2922" t="n">
        <x:f>IF(AND(ISNUMBER(M222),ISNUMBER(T222)),(M222-T222)*100,"")</x:f>
        <x:v>-24.223232323232324</x:v>
      </x:c>
      <x:c r="V222" s="2979" t="n"/>
      <x:c r="W222" s="2920" t="n"/>
      <x:c r="X222" s="2920" t="n"/>
      <x:c r="Y222" s="2959" t="n"/>
      <x:c r="Z222" s="2920" t="n"/>
      <x:c r="AA222" s="2937" t="n"/>
      <x:c r="AB222" s="2938" t="inlineStr">
        <x:is>
          <x:t xml:space="preserve">PASS</x:t>
        </x:is>
      </x:c>
      <x:c r="AC222" s="2930" t="inlineStr">
        <x:is>
          <x:t xml:space="preserve">matmul_shared_lowp（MXFP4）；本轮 model-main ae058a98 + 6参数(无SoC带宽/延迟) 2026-09-26</x:t>
        </x:is>
      </x:c>
    </x:row>
    <x:row r="223" ht="20" customHeight="1">
      <x:c r="A223" s="2916" t="inlineStr">
        <x:is>
          <x:t xml:space="preserve">MXFP4</x:t>
        </x:is>
      </x:c>
      <x:c r="B223" s="2979" t="n">
        <x:v>64</x:v>
      </x:c>
      <x:c r="C223" s="2979" t="n">
        <x:v>128</x:v>
      </x:c>
      <x:c r="D223" s="2979" t="n">
        <x:v>7168</x:v>
      </x:c>
      <x:c r="E223" s="2979" t="n">
        <x:v>128</x:v>
      </x:c>
      <x:c r="F223" s="2979" t="n">
        <x:v>128</x:v>
      </x:c>
      <x:c r="G223" s="2979" t="n">
        <x:v>256</x:v>
      </x:c>
      <x:c r="H223" s="2980" t="n">
        <x:v>36</x:v>
      </x:c>
      <x:c r="I223" s="2980" t="n">
        <x:v>36</x:v>
      </x:c>
      <x:c r="J223" s="2980" t="n">
        <x:v>72</x:v>
      </x:c>
      <x:c r="K223" s="2981" t="n">
        <x:v>128</x:v>
      </x:c>
      <x:c r="L223" s="2979" t="n">
        <x:v>23027</x:v>
      </x:c>
      <x:c r="M223" s="2920" t="n">
        <x:f>IF(AND(ISNUMBER(L223),L223&gt;0),ROUND(B223*C223*D223/16384/L223*100,1)/100,"")</x:f>
        <x:v>0.156</x:v>
      </x:c>
      <x:c r="N223" s="2979" t="n">
        <x:f>IF(OR(B223="",C223="",D223="",E223="",F223="",G223=""),"",ROUNDUP(B223/MIN(E223,128),0)*(C223/F223)*(D223/G223)*((MIN(B223,MIN(E223,128))+F223)*G223*(17/32)/1024))</x:f>
        <x:v>714</x:v>
      </x:c>
      <x:c r="O223" s="2921" t="n">
        <x:f>IF(AND(ISNUMBER(N223),ISNUMBER(K223),K223&gt;0),N223*1024/K223,"")</x:f>
        <x:v>5712</x:v>
      </x:c>
      <x:c r="P223" s="2922" t="n">
        <x:f>IF(OR(E223="",F223="",G223=""),"",((H223+I223)*1024)/(E223*F223*G223/16384))</x:f>
        <x:v>288</x:v>
      </x:c>
      <x:c r="Q223" s="2922" t="n">
        <x:f>IF(OR(E223="",F223="",G223=""),"",(E223*F223*4)/(E223*F223*G223/16384))</x:f>
        <x:v>256</x:v>
      </x:c>
      <x:c r="R223" s="2920" t="n">
        <x:f>IF(AND(ISNUMBER(K223),K223&gt;0,ISNUMBER(P223),P223&gt;0),MIN(1,K223/P223),"")</x:f>
        <x:v>0.4444444444444444</x:v>
      </x:c>
      <x:c r="S223" s="2920" t="n">
        <x:f>IF(AND(ISNUMBER(K223),K223&gt;0,ISNUMBER(Q223),Q223&gt;0),MIN(1,K223/Q223),"")</x:f>
        <x:v>0.5</x:v>
      </x:c>
      <x:c r="T223" s="2920" t="n">
        <x:f>IF(AND(ISNUMBER(R223),ISNUMBER(S223)),MIN(R223,S223),"")</x:f>
        <x:v>0.4444444444444444</x:v>
      </x:c>
      <x:c r="U223" s="2922" t="n">
        <x:f>IF(AND(ISNUMBER(M223),ISNUMBER(T223)),(M223-T223)*100,"")</x:f>
        <x:v>-28.844444444444438</x:v>
      </x:c>
      <x:c r="V223" s="2979" t="n"/>
      <x:c r="W223" s="2920" t="n"/>
      <x:c r="X223" s="2920" t="n"/>
      <x:c r="Y223" s="2959" t="n"/>
      <x:c r="Z223" s="2920" t="n"/>
      <x:c r="AA223" s="2937" t="n"/>
      <x:c r="AB223" s="2938" t="inlineStr">
        <x:is>
          <x:t xml:space="preserve">PASS</x:t>
        </x:is>
      </x:c>
      <x:c r="AC223" s="2930" t="inlineStr">
        <x:is>
          <x:t xml:space="preserve">matmul_shared_lowp（MXFP4）；本轮 model-main ae058a98 + 6参数(无SoC带宽/延迟) 2026-09-26</x:t>
        </x:is>
      </x:c>
    </x:row>
    <x:row r="224" ht="20" customHeight="1">
      <x:c r="A224" s="2916" t="inlineStr">
        <x:is>
          <x:t xml:space="preserve">MXFP4</x:t>
        </x:is>
      </x:c>
      <x:c r="B224" s="2979" t="n">
        <x:v>64</x:v>
      </x:c>
      <x:c r="C224" s="2979" t="n">
        <x:v>128</x:v>
      </x:c>
      <x:c r="D224" s="2979" t="n">
        <x:v>7168</x:v>
      </x:c>
      <x:c r="E224" s="2979" t="n">
        <x:v>128</x:v>
      </x:c>
      <x:c r="F224" s="2979" t="n">
        <x:v>128</x:v>
      </x:c>
      <x:c r="G224" s="2979" t="n">
        <x:v>512</x:v>
      </x:c>
      <x:c r="H224" s="2980" t="n">
        <x:v>68</x:v>
      </x:c>
      <x:c r="I224" s="2980" t="n">
        <x:v>68</x:v>
      </x:c>
      <x:c r="J224" s="2980" t="n">
        <x:v>136</x:v>
      </x:c>
      <x:c r="K224" s="2981" t="n">
        <x:v>128</x:v>
      </x:c>
      <x:c r="L224" s="2979" t="n">
        <x:v>31022</x:v>
      </x:c>
      <x:c r="M224" s="2920" t="n">
        <x:f>IF(AND(ISNUMBER(L224),L224&gt;0),ROUND(B224*C224*D224/16384/L224*100,1)/100,"")</x:f>
        <x:v>0.11599999999999999</x:v>
      </x:c>
      <x:c r="N224" s="2979" t="n">
        <x:f>IF(OR(B224="",C224="",D224="",E224="",F224="",G224=""),"",ROUNDUP(B224/MIN(E224,128),0)*(C224/F224)*(D224/G224)*((MIN(B224,MIN(E224,128))+F224)*G224*(17/32)/1024))</x:f>
        <x:v>714</x:v>
      </x:c>
      <x:c r="O224" s="2921" t="n">
        <x:f>IF(AND(ISNUMBER(N224),ISNUMBER(K224),K224&gt;0),N224*1024/K224,"")</x:f>
        <x:v>5712</x:v>
      </x:c>
      <x:c r="P224" s="2922" t="n">
        <x:f>IF(OR(E224="",F224="",G224=""),"",((H224+I224)*1024)/(E224*F224*G224/16384))</x:f>
        <x:v>272</x:v>
      </x:c>
      <x:c r="Q224" s="2922" t="n">
        <x:f>IF(OR(E224="",F224="",G224=""),"",(E224*F224*4)/(E224*F224*G224/16384))</x:f>
        <x:v>128</x:v>
      </x:c>
      <x:c r="R224" s="2920" t="n">
        <x:f>IF(AND(ISNUMBER(K224),K224&gt;0,ISNUMBER(P224),P224&gt;0),MIN(1,K224/P224),"")</x:f>
        <x:v>0.47058823529411764</x:v>
      </x:c>
      <x:c r="S224" s="2920" t="n">
        <x:f>IF(AND(ISNUMBER(K224),K224&gt;0,ISNUMBER(Q224),Q224&gt;0),MIN(1,K224/Q224),"")</x:f>
        <x:v>1</x:v>
      </x:c>
      <x:c r="T224" s="2920" t="n">
        <x:f>IF(AND(ISNUMBER(R224),ISNUMBER(S224)),MIN(R224,S224),"")</x:f>
        <x:v>0.47058823529411764</x:v>
      </x:c>
      <x:c r="U224" s="2922" t="n">
        <x:f>IF(AND(ISNUMBER(M224),ISNUMBER(T224)),(M224-T224)*100,"")</x:f>
        <x:v>-35.45882352941177</x:v>
      </x:c>
      <x:c r="V224" s="2979" t="n"/>
      <x:c r="W224" s="2920" t="n"/>
      <x:c r="X224" s="2920" t="n"/>
      <x:c r="Y224" s="2959" t="n"/>
      <x:c r="Z224" s="2920" t="n"/>
      <x:c r="AA224" s="2937" t="n"/>
      <x:c r="AB224" s="2938" t="inlineStr">
        <x:is>
          <x:t xml:space="preserve">PASS</x:t>
        </x:is>
      </x:c>
      <x:c r="AC224" s="2930" t="inlineStr">
        <x:is>
          <x:t xml:space="preserve">matmul_shared_lowp（MXFP4）；本轮 model-main ae058a98 + 6参数(无SoC带宽/延迟) 2026-09-26</x:t>
        </x:is>
      </x:c>
    </x:row>
    <x:row r="225" ht="20" customHeight="1">
      <x:c r="A225" s="2916" t="inlineStr">
        <x:is>
          <x:t xml:space="preserve">MXFP4</x:t>
        </x:is>
      </x:c>
      <x:c r="B225" s="2979" t="n">
        <x:v>64</x:v>
      </x:c>
      <x:c r="C225" s="2979" t="n">
        <x:v>128</x:v>
      </x:c>
      <x:c r="D225" s="2979" t="n">
        <x:v>7168</x:v>
      </x:c>
      <x:c r="E225" s="2979" t="n">
        <x:v>128</x:v>
      </x:c>
      <x:c r="F225" s="2979" t="n">
        <x:v>128</x:v>
      </x:c>
      <x:c r="G225" s="2979" t="n">
        <x:v>1024</x:v>
      </x:c>
      <x:c r="H225" s="2980" t="n">
        <x:v>132</x:v>
      </x:c>
      <x:c r="I225" s="2980" t="n">
        <x:v>132</x:v>
      </x:c>
      <x:c r="J225" s="2980" t="n">
        <x:v>264</x:v>
      </x:c>
      <x:c r="K225" s="2981" t="n">
        <x:v>128</x:v>
      </x:c>
      <x:c r="L225" s="2979" t="inlineStr">
        <x:is>
          <x:t xml:space="preserve">—</x:t>
        </x:is>
      </x:c>
      <x:c r="M225" s="2920" t="str">
        <x:f>IF(AND(ISNUMBER(L225),L225&gt;0),ROUND(B225*C225*D225/16384/L225*100,1)/100,"")</x:f>
      </x:c>
      <x:c r="N225" s="2979" t="n">
        <x:f>IF(OR(B225="",C225="",D225="",E225="",F225="",G225=""),"",ROUNDUP(B225/MIN(E225,128),0)*(C225/F225)*(D225/G225)*((MIN(B225,MIN(E225,128))+F225)*G225*(17/32)/1024))</x:f>
        <x:v>714</x:v>
      </x:c>
      <x:c r="O225" s="2921" t="n">
        <x:f>IF(AND(ISNUMBER(N225),ISNUMBER(K225),K225&gt;0),N225*1024/K225,"")</x:f>
        <x:v>5712</x:v>
      </x:c>
      <x:c r="P225" s="2922" t="n">
        <x:f>IF(OR(E225="",F225="",G225=""),"",((H225+I225)*1024)/(E225*F225*G225/16384))</x:f>
        <x:v>264</x:v>
      </x:c>
      <x:c r="Q225" s="2922" t="n">
        <x:f>IF(OR(E225="",F225="",G225=""),"",(E225*F225*4)/(E225*F225*G225/16384))</x:f>
        <x:v>64</x:v>
      </x:c>
      <x:c r="R225" s="2920" t="n">
        <x:f>IF(AND(ISNUMBER(K225),K225&gt;0,ISNUMBER(P225),P225&gt;0),MIN(1,K225/P225),"")</x:f>
        <x:v>0.48484848484848486</x:v>
      </x:c>
      <x:c r="S225" s="2920" t="n">
        <x:f>IF(AND(ISNUMBER(K225),K225&gt;0,ISNUMBER(Q225),Q225&gt;0),MIN(1,K225/Q225),"")</x:f>
        <x:v>1</x:v>
      </x:c>
      <x:c r="T225" s="2920" t="n">
        <x:f>IF(AND(ISNUMBER(R225),ISNUMBER(S225)),MIN(R225,S225),"")</x:f>
        <x:v>0.48484848484848486</x:v>
      </x:c>
      <x:c r="U225" s="2922" t="str">
        <x:f>IF(AND(ISNUMBER(M225),ISNUMBER(T225)),(M225-T225)*100,"")</x:f>
      </x:c>
      <x:c r="V225" s="2979" t="n"/>
      <x:c r="W225" s="2920" t="n"/>
      <x:c r="X225" s="2920" t="n"/>
      <x:c r="Y225" s="2959" t="n"/>
      <x:c r="Z225" s="2920" t="n"/>
      <x:c r="AA225" s="2937" t="n"/>
      <x:c r="AB225" s="2939" t="inlineStr">
        <x:is>
          <x:t xml:space="preserve">COMPILE_FAIL</x:t>
        </x:is>
      </x:c>
      <x:c r="AC225" s="2930" t="inlineStr">
        <x:is>
          <x:t xml:space="preserve">容量超限：完整 SharedTile 足迹 &gt; 256 KiB；本轮 model-main 9b3a4405 + 8参数(256KB ShareTReg) 2026-09-22</x:t>
        </x:is>
      </x:c>
    </x:row>
    <x:row r="226" ht="24" customHeight="1">
      <x:c r="A226" s="2805" t="inlineStr">
        <x:is>
          <x:t xml:space="preserve">▌ S5  —  64×64×7168</x:t>
        </x:is>
      </x:c>
      <x:c r="B226" s="2961" t="n"/>
      <x:c r="C226" s="2961" t="n"/>
      <x:c r="D226" s="2961" t="n"/>
      <x:c r="E226" s="2961" t="n"/>
      <x:c r="F226" s="2961" t="n"/>
      <x:c r="G226" s="2961" t="n"/>
      <x:c r="H226" s="2962" t="n"/>
      <x:c r="I226" s="2962" t="n"/>
      <x:c r="J226" s="2962" t="n"/>
      <x:c r="K226" s="2963"/>
      <x:c r="L226" s="2961" t="n"/>
      <x:c r="M226" s="2809" t="n"/>
      <x:c r="N226" s="2961" t="n"/>
      <x:c r="O226" s="2810" t="n"/>
      <x:c r="P226" s="2811" t="n"/>
      <x:c r="Q226" s="2811" t="n"/>
      <x:c r="R226" s="2809" t="n"/>
      <x:c r="S226" s="2809" t="n"/>
      <x:c r="T226" s="2809" t="n"/>
      <x:c r="U226" s="2811" t="n"/>
      <x:c r="V226" s="2961" t="n"/>
      <x:c r="W226" s="2809" t="n"/>
      <x:c r="X226" s="2809" t="n"/>
      <x:c r="Y226" s="2953" t="n"/>
      <x:c r="Z226" s="2809" t="n"/>
      <x:c r="AA226" s="2805" t="n"/>
      <x:c r="AB226" s="2805" t="n"/>
      <x:c r="AC226" s="2805" t="n"/>
    </x:row>
    <x:row r="227" ht="20" customHeight="1">
      <x:c r="A227" s="2822" t="inlineStr">
        <x:is>
          <x:t xml:space="preserve">FP32</x:t>
        </x:is>
      </x:c>
      <x:c r="B227" s="2964" t="n"/>
      <x:c r="C227" s="2964" t="n"/>
      <x:c r="D227" s="2964" t="n"/>
      <x:c r="E227" s="2964" t="n"/>
      <x:c r="F227" s="2964" t="n"/>
      <x:c r="G227" s="2964" t="n"/>
      <x:c r="H227" s="2965" t="n"/>
      <x:c r="I227" s="2965" t="n"/>
      <x:c r="J227" s="2965" t="n"/>
      <x:c r="K227" s="2966"/>
      <x:c r="L227" s="2964" t="n"/>
      <x:c r="M227" s="2826" t="str"/>
      <x:c r="N227" s="2964" t="str"/>
      <x:c r="O227" s="2827" t="str"/>
      <x:c r="P227" s="2828" t="str"/>
      <x:c r="Q227" s="2828" t="str"/>
      <x:c r="R227" s="2826" t="str"/>
      <x:c r="S227" s="2826" t="str"/>
      <x:c r="T227" s="2826" t="str"/>
      <x:c r="U227" s="2828" t="str"/>
      <x:c r="V227" s="2964" t="n"/>
      <x:c r="W227" s="2826" t="n"/>
      <x:c r="X227" s="2826" t="n"/>
      <x:c r="Y227" s="2954" t="n"/>
      <x:c r="Z227" s="2826" t="n"/>
      <x:c r="AA227" s="2822" t="n"/>
      <x:c r="AB227" s="2822" t="n"/>
      <x:c r="AC227" s="2822" t="n"/>
    </x:row>
    <x:row r="228" ht="20" customHeight="1">
      <x:c r="A228" s="2841" t="inlineStr">
        <x:is>
          <x:t xml:space="preserve">FP32</x:t>
        </x:is>
      </x:c>
      <x:c r="B228" s="2967" t="n">
        <x:v>64</x:v>
      </x:c>
      <x:c r="C228" s="2967" t="n">
        <x:v>64</x:v>
      </x:c>
      <x:c r="D228" s="2967" t="n">
        <x:v>7168</x:v>
      </x:c>
      <x:c r="E228" s="2967" t="n">
        <x:v>128</x:v>
      </x:c>
      <x:c r="F228" s="2967" t="n">
        <x:v>64</x:v>
      </x:c>
      <x:c r="G228" s="2967" t="n">
        <x:v>64</x:v>
      </x:c>
      <x:c r="H228" s="2968" t="n">
        <x:v>32</x:v>
      </x:c>
      <x:c r="I228" s="2968" t="n">
        <x:v>16</x:v>
      </x:c>
      <x:c r="J228" s="2968" t="n">
        <x:v>48</x:v>
      </x:c>
      <x:c r="K228" s="2969" t="n">
        <x:v>128</x:v>
      </x:c>
      <x:c r="L228" s="2967" t="n">
        <x:v>46103</x:v>
      </x:c>
      <x:c r="M228" s="2845" t="n">
        <x:f>IF(AND(ISNUMBER(L228),L228&gt;0),ROUND(B228*C228*D228/2048/L228*100,1)/100,"")</x:f>
        <x:v>0.311</x:v>
      </x:c>
      <x:c r="N228" s="2967" t="n">
        <x:f>IF(OR(B228="",C228="",D228="",E228="",F228="",G228=""),"",ROUNDUP(B228/MIN(E228,128),0)*(C228/F228)*(D228/G228)*((MIN(B228,MIN(E228,128))+F228)*G228*4/1024))</x:f>
        <x:v>3584</x:v>
      </x:c>
      <x:c r="O228" s="2846" t="n">
        <x:f>IF(AND(ISNUMBER(N228),ISNUMBER(K228),K228&gt;0),N228*1024/K228,"")</x:f>
        <x:v>28672</x:v>
      </x:c>
      <x:c r="P228" s="2847" t="n">
        <x:f>IF(OR(E228="",F228="",G228=""),"",((H228+I228)*1024)/(E228*F228*G228/2048))</x:f>
        <x:v>192</x:v>
      </x:c>
      <x:c r="Q228" s="2847" t="n">
        <x:f>IF(OR(E228="",F228="",G228=""),"",(E228*F228*4)/(E228*F228*G228/2048))</x:f>
        <x:v>128</x:v>
      </x:c>
      <x:c r="R228" s="2845" t="n">
        <x:f>IF(AND(ISNUMBER(K228),K228&gt;0,ISNUMBER(P228),P228&gt;0),MIN(1,K228/P228),"")</x:f>
        <x:v>0.6666666666666666</x:v>
      </x:c>
      <x:c r="S228" s="2845" t="n">
        <x:f>IF(AND(ISNUMBER(K228),K228&gt;0,ISNUMBER(Q228),Q228&gt;0),MIN(1,K228/Q228),"")</x:f>
        <x:v>1</x:v>
      </x:c>
      <x:c r="T228" s="2845" t="n">
        <x:f>IF(AND(ISNUMBER(R228),ISNUMBER(S228)),MIN(R228,S228),"")</x:f>
        <x:v>0.6666666666666666</x:v>
      </x:c>
      <x:c r="U228" s="2847" t="n">
        <x:f>IF(AND(ISNUMBER(M228),ISNUMBER(T228)),(M228-T228)*100,"")</x:f>
        <x:v>-35.56666666666666</x:v>
      </x:c>
      <x:c r="V228" s="2967" t="inlineStr">
        <x:is>
          <x:t xml:space="preserve">—</x:t>
        </x:is>
      </x:c>
      <x:c r="W228" s="2845" t="n"/>
      <x:c r="X228" s="2845" t="n"/>
      <x:c r="Y228" s="2955" t="n"/>
      <x:c r="Z228" s="2845" t="n"/>
      <x:c r="AA228" s="2932" t="inlineStr">
        <x:is>
          <x:t xml:space="preserve">COMPILE_FAIL</x:t>
        </x:is>
      </x:c>
      <x:c r="AB228" s="2931" t="inlineStr">
        <x:is>
          <x:t xml:space="preserve">PASS</x:t>
        </x:is>
      </x:c>
      <x:c r="AC228" s="2855" t="inlineStr">
        <x:is>
          <x:t xml:space="preserve">本轮 model-main ae058a98 + 6参数(无SoC带宽/延迟) 2026-09-26</x:t>
        </x:is>
      </x:c>
    </x:row>
    <x:row r="229" ht="20" customHeight="1">
      <x:c r="A229" s="2943" t="inlineStr">
        <x:is>
          <x:t xml:space="preserve">FP32</x:t>
        </x:is>
      </x:c>
      <x:c r="B229" s="2970" t="n">
        <x:v>64</x:v>
      </x:c>
      <x:c r="C229" s="2970" t="n">
        <x:v>64</x:v>
      </x:c>
      <x:c r="D229" s="2970" t="n">
        <x:v>7168</x:v>
      </x:c>
      <x:c r="E229" s="2970" t="n">
        <x:v>128</x:v>
      </x:c>
      <x:c r="F229" s="2970" t="n">
        <x:v>64</x:v>
      </x:c>
      <x:c r="G229" s="2970" t="n">
        <x:v>128</x:v>
      </x:c>
      <x:c r="H229" s="2971" t="n">
        <x:v>64</x:v>
      </x:c>
      <x:c r="I229" s="2971" t="n">
        <x:v>32</x:v>
      </x:c>
      <x:c r="J229" s="2971" t="n">
        <x:v>96</x:v>
      </x:c>
      <x:c r="K229" s="2972" t="n">
        <x:v>128</x:v>
      </x:c>
      <x:c r="L229" s="2970" t="n">
        <x:v>46326</x:v>
      </x:c>
      <x:c r="M229" s="2947" t="n">
        <x:f>IF(AND(ISNUMBER(L229),L229&gt;0),ROUND(B229*C229*D229/2048/L229*100,1)/100,"")</x:f>
        <x:v>0.309</x:v>
      </x:c>
      <x:c r="N229" s="2970" t="n">
        <x:f>IF(OR(B229="",C229="",D229="",E229="",F229="",G229=""),"",ROUNDUP(B229/MIN(E229,128),0)*(C229/F229)*(D229/G229)*((MIN(B229,MIN(E229,128))+F229)*G229*4/1024))</x:f>
        <x:v>3584</x:v>
      </x:c>
      <x:c r="O229" s="2948" t="n">
        <x:f>IF(AND(ISNUMBER(N229),ISNUMBER(K229),K229&gt;0),N229*1024/K229,"")</x:f>
        <x:v>28672</x:v>
      </x:c>
      <x:c r="P229" s="2949" t="n">
        <x:f>IF(OR(E229="",F229="",G229=""),"",((H229+I229)*1024)/(E229*F229*G229/2048))</x:f>
        <x:v>192</x:v>
      </x:c>
      <x:c r="Q229" s="2949" t="n">
        <x:f>IF(OR(E229="",F229="",G229=""),"",(E229*F229*4)/(E229*F229*G229/2048))</x:f>
        <x:v>64</x:v>
      </x:c>
      <x:c r="R229" s="2947" t="n">
        <x:f>IF(AND(ISNUMBER(K229),K229&gt;0,ISNUMBER(P229),P229&gt;0),MIN(1,K229/P229),"")</x:f>
        <x:v>0.6666666666666666</x:v>
      </x:c>
      <x:c r="S229" s="2947" t="n">
        <x:f>IF(AND(ISNUMBER(K229),K229&gt;0,ISNUMBER(Q229),Q229&gt;0),MIN(1,K229/Q229),"")</x:f>
        <x:v>1</x:v>
      </x:c>
      <x:c r="T229" s="2947" t="n">
        <x:f>IF(AND(ISNUMBER(R229),ISNUMBER(S229)),MIN(R229,S229),"")</x:f>
        <x:v>0.6666666666666666</x:v>
      </x:c>
      <x:c r="U229" s="2949" t="n">
        <x:f>IF(AND(ISNUMBER(M229),ISNUMBER(T229)),(M229-T229)*100,"")</x:f>
        <x:v>-35.766666666666666</x:v>
      </x:c>
      <x:c r="V229" s="2970" t="n">
        <x:v>29437</x:v>
      </x:c>
      <x:c r="W229" s="2947" t="n">
        <x:v>0.487</x:v>
      </x:c>
      <x:c r="X229" s="2947" t="n">
        <x:f>IF(AND(ISNUMBER(L229),ISNUMBER(V229),L229&gt;0,V229&gt;0),(L229-V229)/L229,"")</x:f>
        <x:v>0.3645684928549842</x:v>
      </x:c>
      <x:c r="Y229" s="2956" t="n">
        <x:f>IF(AND(ISNUMBER(L229),ISNUMBER(V229),L229&gt;0,V229&gt;0),L229/V229,"")</x:f>
        <x:v>1.5737337364541224</x:v>
      </x:c>
      <x:c r="Z229" s="2947" t="n">
        <x:f>IF(AND(ISNUMBER(C229),ISNUMBER(F229),C229&gt;0,F229&gt;0),1-F229/C229,"")</x:f>
        <x:v>0</x:v>
      </x:c>
      <x:c r="AA229" s="2951" t="inlineStr">
        <x:is>
          <x:t xml:space="preserve">PASS</x:t>
        </x:is>
      </x:c>
      <x:c r="AB229" s="2951" t="inlineStr">
        <x:is>
          <x:t xml:space="preserve">PASS</x:t>
        </x:is>
      </x:c>
      <x:c r="AC229" s="2952" t="inlineStr">
        <x:is>
          <x:t xml:space="preserve">本轮 model-main ae058a98 + 6参数(无SoC带宽/延迟) 2026-09-26</x:t>
        </x:is>
      </x:c>
    </x:row>
    <x:row r="230" ht="20" customHeight="1">
      <x:c r="A230" s="2841" t="inlineStr">
        <x:is>
          <x:t xml:space="preserve">FP32</x:t>
        </x:is>
      </x:c>
      <x:c r="B230" s="2967" t="n">
        <x:v>64</x:v>
      </x:c>
      <x:c r="C230" s="2967" t="n">
        <x:v>64</x:v>
      </x:c>
      <x:c r="D230" s="2967" t="n">
        <x:v>7168</x:v>
      </x:c>
      <x:c r="E230" s="2967" t="n">
        <x:v>128</x:v>
      </x:c>
      <x:c r="F230" s="2967" t="n">
        <x:v>64</x:v>
      </x:c>
      <x:c r="G230" s="2967" t="n">
        <x:v>256</x:v>
      </x:c>
      <x:c r="H230" s="2968" t="n">
        <x:v>128</x:v>
      </x:c>
      <x:c r="I230" s="2968" t="n">
        <x:v>64</x:v>
      </x:c>
      <x:c r="J230" s="2968" t="n">
        <x:v>192</x:v>
      </x:c>
      <x:c r="K230" s="2969" t="n">
        <x:v>128</x:v>
      </x:c>
      <x:c r="L230" s="2967" t="n">
        <x:v>84247</x:v>
      </x:c>
      <x:c r="M230" s="2845" t="n">
        <x:f>IF(AND(ISNUMBER(L230),L230&gt;0),ROUND(B230*C230*D230/2048/L230*100,1)/100,"")</x:f>
        <x:v>0.17</x:v>
      </x:c>
      <x:c r="N230" s="2967" t="n">
        <x:f>IF(OR(B230="",C230="",D230="",E230="",F230="",G230=""),"",ROUNDUP(B230/MIN(E230,128),0)*(C230/F230)*(D230/G230)*((MIN(B230,MIN(E230,128))+F230)*G230*4/1024))</x:f>
        <x:v>3584</x:v>
      </x:c>
      <x:c r="O230" s="2846" t="n">
        <x:f>IF(AND(ISNUMBER(N230),ISNUMBER(K230),K230&gt;0),N230*1024/K230,"")</x:f>
        <x:v>28672</x:v>
      </x:c>
      <x:c r="P230" s="2847" t="n">
        <x:f>IF(OR(E230="",F230="",G230=""),"",((H230+I230)*1024)/(E230*F230*G230/2048))</x:f>
        <x:v>192</x:v>
      </x:c>
      <x:c r="Q230" s="2847" t="n">
        <x:f>IF(OR(E230="",F230="",G230=""),"",(E230*F230*4)/(E230*F230*G230/2048))</x:f>
        <x:v>32</x:v>
      </x:c>
      <x:c r="R230" s="2845" t="n">
        <x:f>IF(AND(ISNUMBER(K230),K230&gt;0,ISNUMBER(P230),P230&gt;0),MIN(1,K230/P230),"")</x:f>
        <x:v>0.6666666666666666</x:v>
      </x:c>
      <x:c r="S230" s="2845" t="n">
        <x:f>IF(AND(ISNUMBER(K230),K230&gt;0,ISNUMBER(Q230),Q230&gt;0),MIN(1,K230/Q230),"")</x:f>
        <x:v>1</x:v>
      </x:c>
      <x:c r="T230" s="2845" t="n">
        <x:f>IF(AND(ISNUMBER(R230),ISNUMBER(S230)),MIN(R230,S230),"")</x:f>
        <x:v>0.6666666666666666</x:v>
      </x:c>
      <x:c r="U230" s="2847" t="n">
        <x:f>IF(AND(ISNUMBER(M230),ISNUMBER(T230)),(M230-T230)*100,"")</x:f>
        <x:v>-49.66666666666666</x:v>
      </x:c>
      <x:c r="V230" s="2967" t="n">
        <x:v>29789</x:v>
      </x:c>
      <x:c r="W230" s="2845" t="n">
        <x:v>0.481</x:v>
      </x:c>
      <x:c r="X230" s="2845" t="n">
        <x:f>IF(AND(ISNUMBER(L230),ISNUMBER(V230),L230&gt;0,V230&gt;0),(L230-V230)/L230,"")</x:f>
        <x:v>0.6464087741996748</x:v>
      </x:c>
      <x:c r="Y230" s="2955" t="n">
        <x:f>IF(AND(ISNUMBER(L230),ISNUMBER(V230),L230&gt;0,V230&gt;0),L230/V230,"")</x:f>
        <x:v>2.828124475477525</x:v>
      </x:c>
      <x:c r="Z230" s="2845" t="n">
        <x:f>IF(AND(ISNUMBER(C230),ISNUMBER(F230),C230&gt;0,F230&gt;0),1-F230/C230,"")</x:f>
        <x:v>0</x:v>
      </x:c>
      <x:c r="AA230" s="2931" t="inlineStr">
        <x:is>
          <x:t xml:space="preserve">PASS</x:t>
        </x:is>
      </x:c>
      <x:c r="AB230" s="2931" t="inlineStr">
        <x:is>
          <x:t xml:space="preserve">PASS</x:t>
        </x:is>
      </x:c>
      <x:c r="AC230" s="2855" t="inlineStr">
        <x:is>
          <x:t xml:space="preserve">本轮 model-main ae058a98 + 6参数(无SoC带宽/延迟) 2026-09-26</x:t>
        </x:is>
      </x:c>
    </x:row>
    <x:row r="231" ht="20" customHeight="1">
      <x:c r="A231" s="2841" t="inlineStr">
        <x:is>
          <x:t xml:space="preserve">FP32</x:t>
        </x:is>
      </x:c>
      <x:c r="B231" s="2967" t="n">
        <x:v>64</x:v>
      </x:c>
      <x:c r="C231" s="2967" t="n">
        <x:v>64</x:v>
      </x:c>
      <x:c r="D231" s="2967" t="n">
        <x:v>7168</x:v>
      </x:c>
      <x:c r="E231" s="2967" t="n">
        <x:v>128</x:v>
      </x:c>
      <x:c r="F231" s="2967" t="n">
        <x:v>64</x:v>
      </x:c>
      <x:c r="G231" s="2967" t="n">
        <x:v>512</x:v>
      </x:c>
      <x:c r="H231" s="2968" t="n">
        <x:v>256</x:v>
      </x:c>
      <x:c r="I231" s="2968" t="n">
        <x:v>128</x:v>
      </x:c>
      <x:c r="J231" s="2968" t="n">
        <x:v>384</x:v>
      </x:c>
      <x:c r="K231" s="2969" t="n">
        <x:v>128</x:v>
      </x:c>
      <x:c r="L231" s="2967" t="inlineStr">
        <x:is>
          <x:t xml:space="preserve">—</x:t>
        </x:is>
      </x:c>
      <x:c r="M231" s="2845" t="str">
        <x:f>IF(AND(ISNUMBER(L231),L231&gt;0),ROUND(B231*C231*D231/2048/L231*100,1)/100,"")</x:f>
      </x:c>
      <x:c r="N231" s="2967" t="n">
        <x:f>IF(OR(B231="",C231="",D231="",E231="",F231="",G231=""),"",ROUNDUP(B231/MIN(E231,128),0)*(C231/F231)*(D231/G231)*((MIN(B231,MIN(E231,128))+F231)*G231*4/1024))</x:f>
        <x:v>3584</x:v>
      </x:c>
      <x:c r="O231" s="2846" t="n">
        <x:f>IF(AND(ISNUMBER(N231),ISNUMBER(K231),K231&gt;0),N231*1024/K231,"")</x:f>
        <x:v>28672</x:v>
      </x:c>
      <x:c r="P231" s="2847" t="n">
        <x:f>IF(OR(E231="",F231="",G231=""),"",((H231+I231)*1024)/(E231*F231*G231/2048))</x:f>
        <x:v>192</x:v>
      </x:c>
      <x:c r="Q231" s="2847" t="n">
        <x:f>IF(OR(E231="",F231="",G231=""),"",(E231*F231*4)/(E231*F231*G231/2048))</x:f>
        <x:v>16</x:v>
      </x:c>
      <x:c r="R231" s="2845" t="n">
        <x:f>IF(AND(ISNUMBER(K231),K231&gt;0,ISNUMBER(P231),P231&gt;0),MIN(1,K231/P231),"")</x:f>
        <x:v>0.6666666666666666</x:v>
      </x:c>
      <x:c r="S231" s="2845" t="n">
        <x:f>IF(AND(ISNUMBER(K231),K231&gt;0,ISNUMBER(Q231),Q231&gt;0),MIN(1,K231/Q231),"")</x:f>
        <x:v>1</x:v>
      </x:c>
      <x:c r="T231" s="2845" t="n">
        <x:f>IF(AND(ISNUMBER(R231),ISNUMBER(S231)),MIN(R231,S231),"")</x:f>
        <x:v>0.6666666666666666</x:v>
      </x:c>
      <x:c r="U231" s="2847" t="str">
        <x:f>IF(AND(ISNUMBER(M231),ISNUMBER(T231)),(M231-T231)*100,"")</x:f>
      </x:c>
      <x:c r="V231" s="2967" t="inlineStr">
        <x:is>
          <x:t xml:space="preserve">—</x:t>
        </x:is>
      </x:c>
      <x:c r="W231" s="2845" t="n"/>
      <x:c r="X231" s="2845" t="n"/>
      <x:c r="Y231" s="2955" t="n"/>
      <x:c r="Z231" s="2845" t="n"/>
      <x:c r="AA231" s="2932" t="inlineStr">
        <x:is>
          <x:t xml:space="preserve">ASSERT_FAIL</x:t>
        </x:is>
      </x:c>
      <x:c r="AB231" s="2932" t="inlineStr">
        <x:is>
          <x:t xml:space="preserve">COMPILE_FAIL</x:t>
        </x:is>
      </x:c>
      <x:c r="AC231" s="2855" t="inlineStr">
        <x:is>
          <x:t xml:space="preserve">容量超限：完整 SharedTile 足迹 &gt; 256 KiB；本轮 model-main 9b3a4405 + 8参数(256KB ShareTReg) 2026-09-22</x:t>
        </x:is>
      </x:c>
    </x:row>
    <x:row r="232" ht="20" customHeight="1">
      <x:c r="A232" s="2822" t="inlineStr">
        <x:is>
          <x:t xml:space="preserve">BF16</x:t>
        </x:is>
      </x:c>
      <x:c r="B232" s="2964" t="n"/>
      <x:c r="C232" s="2964" t="n"/>
      <x:c r="D232" s="2964" t="n"/>
      <x:c r="E232" s="2964" t="n"/>
      <x:c r="F232" s="2964" t="n"/>
      <x:c r="G232" s="2964" t="n"/>
      <x:c r="H232" s="2965" t="n"/>
      <x:c r="I232" s="2965" t="n"/>
      <x:c r="J232" s="2965" t="n"/>
      <x:c r="K232" s="2966"/>
      <x:c r="L232" s="2964" t="n"/>
      <x:c r="M232" s="2826" t="str"/>
      <x:c r="N232" s="2964" t="str"/>
      <x:c r="O232" s="2827" t="str"/>
      <x:c r="P232" s="2828" t="str"/>
      <x:c r="Q232" s="2828" t="str"/>
      <x:c r="R232" s="2826" t="str"/>
      <x:c r="S232" s="2826" t="str"/>
      <x:c r="T232" s="2826" t="str"/>
      <x:c r="U232" s="2828" t="str"/>
      <x:c r="V232" s="2964" t="n"/>
      <x:c r="W232" s="2826" t="n"/>
      <x:c r="X232" s="2826" t="n"/>
      <x:c r="Y232" s="2954" t="n"/>
      <x:c r="Z232" s="2826" t="n"/>
      <x:c r="AA232" s="2822" t="n"/>
      <x:c r="AB232" s="2822" t="n"/>
      <x:c r="AC232" s="2822" t="n"/>
    </x:row>
    <x:row r="233" ht="20" customHeight="1">
      <x:c r="A233" s="2866" t="inlineStr">
        <x:is>
          <x:t xml:space="preserve">BF16</x:t>
        </x:is>
      </x:c>
      <x:c r="B233" s="2973" t="n">
        <x:v>64</x:v>
      </x:c>
      <x:c r="C233" s="2973" t="n">
        <x:v>64</x:v>
      </x:c>
      <x:c r="D233" s="2973" t="n">
        <x:v>7168</x:v>
      </x:c>
      <x:c r="E233" s="2973" t="n">
        <x:v>128</x:v>
      </x:c>
      <x:c r="F233" s="2973" t="n">
        <x:v>64</x:v>
      </x:c>
      <x:c r="G233" s="2973" t="n">
        <x:v>64</x:v>
      </x:c>
      <x:c r="H233" s="2974" t="n">
        <x:v>16</x:v>
      </x:c>
      <x:c r="I233" s="2974" t="n">
        <x:v>8</x:v>
      </x:c>
      <x:c r="J233" s="2974" t="n">
        <x:v>24</x:v>
      </x:c>
      <x:c r="K233" s="2975" t="n">
        <x:v>128</x:v>
      </x:c>
      <x:c r="L233" s="2973" t="n">
        <x:v>23546</x:v>
      </x:c>
      <x:c r="M233" s="2870" t="n">
        <x:f>IF(AND(ISNUMBER(L233),L233&gt;0),ROUND(B233*C233*D233/4096/L233*100,1)/100,"")</x:f>
        <x:v>0.304</x:v>
      </x:c>
      <x:c r="N233" s="2973" t="n">
        <x:f>IF(OR(B233="",C233="",D233="",E233="",F233="",G233=""),"",ROUNDUP(B233/MIN(E233,128),0)*(C233/F233)*(D233/G233)*((MIN(B233,MIN(E233,128))+F233)*G233*2/1024))</x:f>
        <x:v>1792</x:v>
      </x:c>
      <x:c r="O233" s="2871" t="n">
        <x:f>IF(AND(ISNUMBER(N233),ISNUMBER(K233),K233&gt;0),N233*1024/K233,"")</x:f>
        <x:v>14336</x:v>
      </x:c>
      <x:c r="P233" s="2872" t="n">
        <x:f>IF(OR(E233="",F233="",G233=""),"",((H233+I233)*1024)/(E233*F233*G233/4096))</x:f>
        <x:v>192</x:v>
      </x:c>
      <x:c r="Q233" s="2872" t="n">
        <x:f>IF(OR(E233="",F233="",G233=""),"",(E233*F233*4)/(E233*F233*G233/4096))</x:f>
        <x:v>256</x:v>
      </x:c>
      <x:c r="R233" s="2870" t="n">
        <x:f>IF(AND(ISNUMBER(K233),K233&gt;0,ISNUMBER(P233),P233&gt;0),MIN(1,K233/P233),"")</x:f>
        <x:v>0.6666666666666666</x:v>
      </x:c>
      <x:c r="S233" s="2870" t="n">
        <x:f>IF(AND(ISNUMBER(K233),K233&gt;0,ISNUMBER(Q233),Q233&gt;0),MIN(1,K233/Q233),"")</x:f>
        <x:v>0.5</x:v>
      </x:c>
      <x:c r="T233" s="2870" t="n">
        <x:f>IF(AND(ISNUMBER(R233),ISNUMBER(S233)),MIN(R233,S233),"")</x:f>
        <x:v>0.5</x:v>
      </x:c>
      <x:c r="U233" s="2872" t="n">
        <x:f>IF(AND(ISNUMBER(M233),ISNUMBER(T233)),(M233-T233)*100,"")</x:f>
        <x:v>-19.6</x:v>
      </x:c>
      <x:c r="V233" s="2973" t="inlineStr">
        <x:is>
          <x:t xml:space="preserve">—</x:t>
        </x:is>
      </x:c>
      <x:c r="W233" s="2870" t="n"/>
      <x:c r="X233" s="2870" t="n"/>
      <x:c r="Y233" s="2957" t="n"/>
      <x:c r="Z233" s="2870" t="n"/>
      <x:c r="AA233" s="2934" t="inlineStr">
        <x:is>
          <x:t xml:space="preserve">COMPILE_FAIL</x:t>
        </x:is>
      </x:c>
      <x:c r="AB233" s="2933" t="inlineStr">
        <x:is>
          <x:t xml:space="preserve">PASS</x:t>
        </x:is>
      </x:c>
      <x:c r="AC233" s="2880" t="inlineStr">
        <x:is>
          <x:t xml:space="preserve">本轮 model-main ae058a98 + 6参数(无SoC带宽/延迟) 2026-09-26</x:t>
        </x:is>
      </x:c>
    </x:row>
    <x:row r="234" ht="20" customHeight="1">
      <x:c r="A234" s="2943" t="inlineStr">
        <x:is>
          <x:t xml:space="preserve">BF16</x:t>
        </x:is>
      </x:c>
      <x:c r="B234" s="2970" t="n">
        <x:v>64</x:v>
      </x:c>
      <x:c r="C234" s="2970" t="n">
        <x:v>64</x:v>
      </x:c>
      <x:c r="D234" s="2970" t="n">
        <x:v>7168</x:v>
      </x:c>
      <x:c r="E234" s="2970" t="n">
        <x:v>128</x:v>
      </x:c>
      <x:c r="F234" s="2970" t="n">
        <x:v>64</x:v>
      </x:c>
      <x:c r="G234" s="2970" t="n">
        <x:v>128</x:v>
      </x:c>
      <x:c r="H234" s="2971" t="n">
        <x:v>32</x:v>
      </x:c>
      <x:c r="I234" s="2971" t="n">
        <x:v>16</x:v>
      </x:c>
      <x:c r="J234" s="2971" t="n">
        <x:v>48</x:v>
      </x:c>
      <x:c r="K234" s="2972" t="n">
        <x:v>128</x:v>
      </x:c>
      <x:c r="L234" s="2970" t="n">
        <x:v>23854</x:v>
      </x:c>
      <x:c r="M234" s="2947" t="n">
        <x:f>IF(AND(ISNUMBER(L234),L234&gt;0),ROUND(B234*C234*D234/4096/L234*100,1)/100,"")</x:f>
        <x:v>0.3</x:v>
      </x:c>
      <x:c r="N234" s="2970" t="n">
        <x:f>IF(OR(B234="",C234="",D234="",E234="",F234="",G234=""),"",ROUNDUP(B234/MIN(E234,128),0)*(C234/F234)*(D234/G234)*((MIN(B234,MIN(E234,128))+F234)*G234*2/1024))</x:f>
        <x:v>1792</x:v>
      </x:c>
      <x:c r="O234" s="2948" t="n">
        <x:f>IF(AND(ISNUMBER(N234),ISNUMBER(K234),K234&gt;0),N234*1024/K234,"")</x:f>
        <x:v>14336</x:v>
      </x:c>
      <x:c r="P234" s="2949" t="n">
        <x:f>IF(OR(E234="",F234="",G234=""),"",((H234+I234)*1024)/(E234*F234*G234/4096))</x:f>
        <x:v>192</x:v>
      </x:c>
      <x:c r="Q234" s="2949" t="n">
        <x:f>IF(OR(E234="",F234="",G234=""),"",(E234*F234*4)/(E234*F234*G234/4096))</x:f>
        <x:v>128</x:v>
      </x:c>
      <x:c r="R234" s="2947" t="n">
        <x:f>IF(AND(ISNUMBER(K234),K234&gt;0,ISNUMBER(P234),P234&gt;0),MIN(1,K234/P234),"")</x:f>
        <x:v>0.6666666666666666</x:v>
      </x:c>
      <x:c r="S234" s="2947" t="n">
        <x:f>IF(AND(ISNUMBER(K234),K234&gt;0,ISNUMBER(Q234),Q234&gt;0),MIN(1,K234/Q234),"")</x:f>
        <x:v>1</x:v>
      </x:c>
      <x:c r="T234" s="2947" t="n">
        <x:f>IF(AND(ISNUMBER(R234),ISNUMBER(S234)),MIN(R234,S234),"")</x:f>
        <x:v>0.6666666666666666</x:v>
      </x:c>
      <x:c r="U234" s="2949" t="n">
        <x:f>IF(AND(ISNUMBER(M234),ISNUMBER(T234)),(M234-T234)*100,"")</x:f>
        <x:v>-36.666666666666664</x:v>
      </x:c>
      <x:c r="V234" s="2970" t="n">
        <x:v>18171</x:v>
      </x:c>
      <x:c r="W234" s="2947" t="n">
        <x:v>0.789</x:v>
      </x:c>
      <x:c r="X234" s="2947" t="n">
        <x:f>IF(AND(ISNUMBER(L234),ISNUMBER(V234),L234&gt;0,V234&gt;0),(L234-V234)/L234,"")</x:f>
        <x:v>0.23824096587574412</x:v>
      </x:c>
      <x:c r="Y234" s="2956" t="n">
        <x:f>IF(AND(ISNUMBER(L234),ISNUMBER(V234),L234&gt;0,V234&gt;0),L234/V234,"")</x:f>
        <x:v>1.3127510868967036</x:v>
      </x:c>
      <x:c r="Z234" s="2947" t="n">
        <x:f>IF(AND(ISNUMBER(C234),ISNUMBER(F234),C234&gt;0,F234&gt;0),1-F234/C234,"")</x:f>
        <x:v>0</x:v>
      </x:c>
      <x:c r="AA234" s="2951" t="inlineStr">
        <x:is>
          <x:t xml:space="preserve">PASS</x:t>
        </x:is>
      </x:c>
      <x:c r="AB234" s="2951" t="inlineStr">
        <x:is>
          <x:t xml:space="preserve">PASS</x:t>
        </x:is>
      </x:c>
      <x:c r="AC234" s="2952" t="inlineStr">
        <x:is>
          <x:t xml:space="preserve">本轮 model-main ae058a98 + 6参数(无SoC带宽/延迟) 2026-09-26</x:t>
        </x:is>
      </x:c>
    </x:row>
    <x:row r="235" ht="20" customHeight="1">
      <x:c r="A235" s="2866" t="inlineStr">
        <x:is>
          <x:t xml:space="preserve">BF16</x:t>
        </x:is>
      </x:c>
      <x:c r="B235" s="2973" t="n">
        <x:v>64</x:v>
      </x:c>
      <x:c r="C235" s="2973" t="n">
        <x:v>64</x:v>
      </x:c>
      <x:c r="D235" s="2973" t="n">
        <x:v>7168</x:v>
      </x:c>
      <x:c r="E235" s="2973" t="n">
        <x:v>128</x:v>
      </x:c>
      <x:c r="F235" s="2973" t="n">
        <x:v>64</x:v>
      </x:c>
      <x:c r="G235" s="2973" t="n">
        <x:v>256</x:v>
      </x:c>
      <x:c r="H235" s="2974" t="n">
        <x:v>64</x:v>
      </x:c>
      <x:c r="I235" s="2974" t="n">
        <x:v>32</x:v>
      </x:c>
      <x:c r="J235" s="2974" t="n">
        <x:v>96</x:v>
      </x:c>
      <x:c r="K235" s="2975" t="n">
        <x:v>128</x:v>
      </x:c>
      <x:c r="L235" s="2973" t="n">
        <x:v>24121</x:v>
      </x:c>
      <x:c r="M235" s="2870" t="n">
        <x:f>IF(AND(ISNUMBER(L235),L235&gt;0),ROUND(B235*C235*D235/4096/L235*100,1)/100,"")</x:f>
        <x:v>0.297</x:v>
      </x:c>
      <x:c r="N235" s="2973" t="n">
        <x:f>IF(OR(B235="",C235="",D235="",E235="",F235="",G235=""),"",ROUNDUP(B235/MIN(E235,128),0)*(C235/F235)*(D235/G235)*((MIN(B235,MIN(E235,128))+F235)*G235*2/1024))</x:f>
        <x:v>1792</x:v>
      </x:c>
      <x:c r="O235" s="2871" t="n">
        <x:f>IF(AND(ISNUMBER(N235),ISNUMBER(K235),K235&gt;0),N235*1024/K235,"")</x:f>
        <x:v>14336</x:v>
      </x:c>
      <x:c r="P235" s="2872" t="n">
        <x:f>IF(OR(E235="",F235="",G235=""),"",((H235+I235)*1024)/(E235*F235*G235/4096))</x:f>
        <x:v>192</x:v>
      </x:c>
      <x:c r="Q235" s="2872" t="n">
        <x:f>IF(OR(E235="",F235="",G235=""),"",(E235*F235*4)/(E235*F235*G235/4096))</x:f>
        <x:v>64</x:v>
      </x:c>
      <x:c r="R235" s="2870" t="n">
        <x:f>IF(AND(ISNUMBER(K235),K235&gt;0,ISNUMBER(P235),P235&gt;0),MIN(1,K235/P235),"")</x:f>
        <x:v>0.6666666666666666</x:v>
      </x:c>
      <x:c r="S235" s="2870" t="n">
        <x:f>IF(AND(ISNUMBER(K235),K235&gt;0,ISNUMBER(Q235),Q235&gt;0),MIN(1,K235/Q235),"")</x:f>
        <x:v>1</x:v>
      </x:c>
      <x:c r="T235" s="2870" t="n">
        <x:f>IF(AND(ISNUMBER(R235),ISNUMBER(S235)),MIN(R235,S235),"")</x:f>
        <x:v>0.6666666666666666</x:v>
      </x:c>
      <x:c r="U235" s="2872" t="n">
        <x:f>IF(AND(ISNUMBER(M235),ISNUMBER(T235)),(M235-T235)*100,"")</x:f>
        <x:v>-36.96666666666666</x:v>
      </x:c>
      <x:c r="V235" s="2973" t="n">
        <x:v>18258</x:v>
      </x:c>
      <x:c r="W235" s="2870" t="n">
        <x:v>0.785</x:v>
      </x:c>
      <x:c r="X235" s="2870" t="n">
        <x:f>IF(AND(ISNUMBER(L235),ISNUMBER(V235),L235&gt;0,V235&gt;0),(L235-V235)/L235,"")</x:f>
        <x:v>0.24306620786866215</x:v>
      </x:c>
      <x:c r="Y235" s="2957" t="n">
        <x:f>IF(AND(ISNUMBER(L235),ISNUMBER(V235),L235&gt;0,V235&gt;0),L235/V235,"")</x:f>
        <x:v>1.3211195092562165</x:v>
      </x:c>
      <x:c r="Z235" s="2870" t="n">
        <x:f>IF(AND(ISNUMBER(C235),ISNUMBER(F235),C235&gt;0,F235&gt;0),1-F235/C235,"")</x:f>
        <x:v>0</x:v>
      </x:c>
      <x:c r="AA235" s="2933" t="inlineStr">
        <x:is>
          <x:t xml:space="preserve">PASS</x:t>
        </x:is>
      </x:c>
      <x:c r="AB235" s="2933" t="inlineStr">
        <x:is>
          <x:t xml:space="preserve">PASS</x:t>
        </x:is>
      </x:c>
      <x:c r="AC235" s="2880" t="inlineStr">
        <x:is>
          <x:t xml:space="preserve">本轮 model-main ae058a98 + 6参数(无SoC带宽/延迟) 2026-09-26</x:t>
        </x:is>
      </x:c>
    </x:row>
    <x:row r="236" ht="20" customHeight="1">
      <x:c r="A236" s="2866" t="inlineStr">
        <x:is>
          <x:t xml:space="preserve">BF16</x:t>
        </x:is>
      </x:c>
      <x:c r="B236" s="2973" t="n">
        <x:v>64</x:v>
      </x:c>
      <x:c r="C236" s="2973" t="n">
        <x:v>64</x:v>
      </x:c>
      <x:c r="D236" s="2973" t="n">
        <x:v>7168</x:v>
      </x:c>
      <x:c r="E236" s="2973" t="n">
        <x:v>128</x:v>
      </x:c>
      <x:c r="F236" s="2973" t="n">
        <x:v>64</x:v>
      </x:c>
      <x:c r="G236" s="2973" t="n">
        <x:v>512</x:v>
      </x:c>
      <x:c r="H236" s="2974" t="n">
        <x:v>128</x:v>
      </x:c>
      <x:c r="I236" s="2974" t="n">
        <x:v>64</x:v>
      </x:c>
      <x:c r="J236" s="2974" t="n">
        <x:v>192</x:v>
      </x:c>
      <x:c r="K236" s="2975" t="n">
        <x:v>128</x:v>
      </x:c>
      <x:c r="L236" s="2973" t="n">
        <x:v>42418</x:v>
      </x:c>
      <x:c r="M236" s="2870" t="n">
        <x:f>IF(AND(ISNUMBER(L236),L236&gt;0),ROUND(B236*C236*D236/4096/L236*100,1)/100,"")</x:f>
        <x:v>0.16899999999999998</x:v>
      </x:c>
      <x:c r="N236" s="2973" t="n">
        <x:f>IF(OR(B236="",C236="",D236="",E236="",F236="",G236=""),"",ROUNDUP(B236/MIN(E236,128),0)*(C236/F236)*(D236/G236)*((MIN(B236,MIN(E236,128))+F236)*G236*2/1024))</x:f>
        <x:v>1792</x:v>
      </x:c>
      <x:c r="O236" s="2871" t="n">
        <x:f>IF(AND(ISNUMBER(N236),ISNUMBER(K236),K236&gt;0),N236*1024/K236,"")</x:f>
        <x:v>14336</x:v>
      </x:c>
      <x:c r="P236" s="2872" t="n">
        <x:f>IF(OR(E236="",F236="",G236=""),"",((H236+I236)*1024)/(E236*F236*G236/4096))</x:f>
        <x:v>192</x:v>
      </x:c>
      <x:c r="Q236" s="2872" t="n">
        <x:f>IF(OR(E236="",F236="",G236=""),"",(E236*F236*4)/(E236*F236*G236/4096))</x:f>
        <x:v>32</x:v>
      </x:c>
      <x:c r="R236" s="2870" t="n">
        <x:f>IF(AND(ISNUMBER(K236),K236&gt;0,ISNUMBER(P236),P236&gt;0),MIN(1,K236/P236),"")</x:f>
        <x:v>0.6666666666666666</x:v>
      </x:c>
      <x:c r="S236" s="2870" t="n">
        <x:f>IF(AND(ISNUMBER(K236),K236&gt;0,ISNUMBER(Q236),Q236&gt;0),MIN(1,K236/Q236),"")</x:f>
        <x:v>1</x:v>
      </x:c>
      <x:c r="T236" s="2870" t="n">
        <x:f>IF(AND(ISNUMBER(R236),ISNUMBER(S236)),MIN(R236,S236),"")</x:f>
        <x:v>0.6666666666666666</x:v>
      </x:c>
      <x:c r="U236" s="2872" t="n">
        <x:f>IF(AND(ISNUMBER(M236),ISNUMBER(T236)),(M236-T236)*100,"")</x:f>
        <x:v>-49.766666666666666</x:v>
      </x:c>
      <x:c r="V236" s="2973" t="n">
        <x:v>18508</x:v>
      </x:c>
      <x:c r="W236" s="2870" t="n">
        <x:v>0.775</x:v>
      </x:c>
      <x:c r="X236" s="2870" t="n">
        <x:f>IF(AND(ISNUMBER(L236),ISNUMBER(V236),L236&gt;0,V236&gt;0),(L236-V236)/L236,"")</x:f>
        <x:v>0.5636757980102787</x:v>
      </x:c>
      <x:c r="Y236" s="2957" t="n">
        <x:f>IF(AND(ISNUMBER(L236),ISNUMBER(V236),L236&gt;0,V236&gt;0),L236/V236,"")</x:f>
        <x:v>2.291873784309488</x:v>
      </x:c>
      <x:c r="Z236" s="2870" t="n">
        <x:f>IF(AND(ISNUMBER(C236),ISNUMBER(F236),C236&gt;0,F236&gt;0),1-F236/C236,"")</x:f>
        <x:v>0</x:v>
      </x:c>
      <x:c r="AA236" s="2933" t="inlineStr">
        <x:is>
          <x:t xml:space="preserve">PASS</x:t>
        </x:is>
      </x:c>
      <x:c r="AB236" s="2933" t="inlineStr">
        <x:is>
          <x:t xml:space="preserve">PASS</x:t>
        </x:is>
      </x:c>
      <x:c r="AC236" s="2880" t="inlineStr">
        <x:is>
          <x:t xml:space="preserve">本轮 model-main ae058a98 + 6参数(无SoC带宽/延迟) 2026-09-26</x:t>
        </x:is>
      </x:c>
    </x:row>
    <x:row r="237" ht="20" customHeight="1">
      <x:c r="A237" s="2822" t="inlineStr">
        <x:is>
          <x:t xml:space="preserve">FP16</x:t>
        </x:is>
      </x:c>
      <x:c r="B237" s="2964" t="n"/>
      <x:c r="C237" s="2964" t="n"/>
      <x:c r="D237" s="2964" t="n"/>
      <x:c r="E237" s="2964" t="n"/>
      <x:c r="F237" s="2964" t="n"/>
      <x:c r="G237" s="2964" t="n"/>
      <x:c r="H237" s="2965" t="n"/>
      <x:c r="I237" s="2965" t="n"/>
      <x:c r="J237" s="2965" t="n"/>
      <x:c r="K237" s="2966"/>
      <x:c r="L237" s="2964" t="n"/>
      <x:c r="M237" s="2826" t="str"/>
      <x:c r="N237" s="2964" t="str"/>
      <x:c r="O237" s="2827" t="str"/>
      <x:c r="P237" s="2828" t="str"/>
      <x:c r="Q237" s="2828" t="str"/>
      <x:c r="R237" s="2826" t="str"/>
      <x:c r="S237" s="2826" t="str"/>
      <x:c r="T237" s="2826" t="str"/>
      <x:c r="U237" s="2828" t="str"/>
      <x:c r="V237" s="2964" t="n"/>
      <x:c r="W237" s="2826" t="n"/>
      <x:c r="X237" s="2826" t="n"/>
      <x:c r="Y237" s="2954" t="n"/>
      <x:c r="Z237" s="2826" t="n"/>
      <x:c r="AA237" s="2822" t="n"/>
      <x:c r="AB237" s="2822" t="n"/>
      <x:c r="AC237" s="2822" t="n"/>
    </x:row>
    <x:row r="238" ht="20" customHeight="1">
      <x:c r="A238" s="2891" t="inlineStr">
        <x:is>
          <x:t xml:space="preserve">FP16</x:t>
        </x:is>
      </x:c>
      <x:c r="B238" s="2976" t="n">
        <x:v>64</x:v>
      </x:c>
      <x:c r="C238" s="2976" t="n">
        <x:v>64</x:v>
      </x:c>
      <x:c r="D238" s="2976" t="n">
        <x:v>7168</x:v>
      </x:c>
      <x:c r="E238" s="2976" t="n">
        <x:v>128</x:v>
      </x:c>
      <x:c r="F238" s="2976" t="n">
        <x:v>64</x:v>
      </x:c>
      <x:c r="G238" s="2976" t="n">
        <x:v>64</x:v>
      </x:c>
      <x:c r="H238" s="2977" t="n">
        <x:v>16</x:v>
      </x:c>
      <x:c r="I238" s="2977" t="n">
        <x:v>8</x:v>
      </x:c>
      <x:c r="J238" s="2977" t="n">
        <x:v>24</x:v>
      </x:c>
      <x:c r="K238" s="2978" t="n">
        <x:v>128</x:v>
      </x:c>
      <x:c r="L238" s="2976" t="n">
        <x:v>23546</x:v>
      </x:c>
      <x:c r="M238" s="2895" t="n">
        <x:f>IF(AND(ISNUMBER(L238),L238&gt;0),ROUND(B238*C238*D238/4096/L238*100,1)/100,"")</x:f>
        <x:v>0.304</x:v>
      </x:c>
      <x:c r="N238" s="2976" t="n">
        <x:f>IF(OR(B238="",C238="",D238="",E238="",F238="",G238=""),"",ROUNDUP(B238/MIN(E238,128),0)*(C238/F238)*(D238/G238)*((MIN(B238,MIN(E238,128))+F238)*G238*2/1024))</x:f>
        <x:v>1792</x:v>
      </x:c>
      <x:c r="O238" s="2896" t="n">
        <x:f>IF(AND(ISNUMBER(N238),ISNUMBER(K238),K238&gt;0),N238*1024/K238,"")</x:f>
        <x:v>14336</x:v>
      </x:c>
      <x:c r="P238" s="2897" t="n">
        <x:f>IF(OR(E238="",F238="",G238=""),"",((H238+I238)*1024)/(E238*F238*G238/4096))</x:f>
        <x:v>192</x:v>
      </x:c>
      <x:c r="Q238" s="2897" t="n">
        <x:f>IF(OR(E238="",F238="",G238=""),"",(E238*F238*4)/(E238*F238*G238/4096))</x:f>
        <x:v>256</x:v>
      </x:c>
      <x:c r="R238" s="2895" t="n">
        <x:f>IF(AND(ISNUMBER(K238),K238&gt;0,ISNUMBER(P238),P238&gt;0),MIN(1,K238/P238),"")</x:f>
        <x:v>0.6666666666666666</x:v>
      </x:c>
      <x:c r="S238" s="2895" t="n">
        <x:f>IF(AND(ISNUMBER(K238),K238&gt;0,ISNUMBER(Q238),Q238&gt;0),MIN(1,K238/Q238),"")</x:f>
        <x:v>0.5</x:v>
      </x:c>
      <x:c r="T238" s="2895" t="n">
        <x:f>IF(AND(ISNUMBER(R238),ISNUMBER(S238)),MIN(R238,S238),"")</x:f>
        <x:v>0.5</x:v>
      </x:c>
      <x:c r="U238" s="2897" t="n">
        <x:f>IF(AND(ISNUMBER(M238),ISNUMBER(T238)),(M238-T238)*100,"")</x:f>
        <x:v>-19.6</x:v>
      </x:c>
      <x:c r="V238" s="2976" t="inlineStr">
        <x:is>
          <x:t xml:space="preserve">—</x:t>
        </x:is>
      </x:c>
      <x:c r="W238" s="2895" t="n"/>
      <x:c r="X238" s="2895" t="n"/>
      <x:c r="Y238" s="2958" t="n"/>
      <x:c r="Z238" s="2895" t="n"/>
      <x:c r="AA238" s="2936" t="inlineStr">
        <x:is>
          <x:t xml:space="preserve">COMPILE_FAIL</x:t>
        </x:is>
      </x:c>
      <x:c r="AB238" s="2935" t="inlineStr">
        <x:is>
          <x:t xml:space="preserve">PASS</x:t>
        </x:is>
      </x:c>
      <x:c r="AC238" s="2905" t="inlineStr">
        <x:is>
          <x:t xml:space="preserve">本轮 model-main ae058a98 + 6参数(无SoC带宽/延迟) 2026-09-26</x:t>
        </x:is>
      </x:c>
    </x:row>
    <x:row r="239" ht="20" customHeight="1">
      <x:c r="A239" s="2943" t="inlineStr">
        <x:is>
          <x:t xml:space="preserve">FP16</x:t>
        </x:is>
      </x:c>
      <x:c r="B239" s="2970" t="n">
        <x:v>64</x:v>
      </x:c>
      <x:c r="C239" s="2970" t="n">
        <x:v>64</x:v>
      </x:c>
      <x:c r="D239" s="2970" t="n">
        <x:v>7168</x:v>
      </x:c>
      <x:c r="E239" s="2970" t="n">
        <x:v>128</x:v>
      </x:c>
      <x:c r="F239" s="2970" t="n">
        <x:v>64</x:v>
      </x:c>
      <x:c r="G239" s="2970" t="n">
        <x:v>128</x:v>
      </x:c>
      <x:c r="H239" s="2971" t="n">
        <x:v>32</x:v>
      </x:c>
      <x:c r="I239" s="2971" t="n">
        <x:v>16</x:v>
      </x:c>
      <x:c r="J239" s="2971" t="n">
        <x:v>48</x:v>
      </x:c>
      <x:c r="K239" s="2972" t="n">
        <x:v>128</x:v>
      </x:c>
      <x:c r="L239" s="2970" t="n">
        <x:v>23854</x:v>
      </x:c>
      <x:c r="M239" s="2947" t="n">
        <x:f>IF(AND(ISNUMBER(L239),L239&gt;0),ROUND(B239*C239*D239/4096/L239*100,1)/100,"")</x:f>
        <x:v>0.3</x:v>
      </x:c>
      <x:c r="N239" s="2970" t="n">
        <x:f>IF(OR(B239="",C239="",D239="",E239="",F239="",G239=""),"",ROUNDUP(B239/MIN(E239,128),0)*(C239/F239)*(D239/G239)*((MIN(B239,MIN(E239,128))+F239)*G239*2/1024))</x:f>
        <x:v>1792</x:v>
      </x:c>
      <x:c r="O239" s="2948" t="n">
        <x:f>IF(AND(ISNUMBER(N239),ISNUMBER(K239),K239&gt;0),N239*1024/K239,"")</x:f>
        <x:v>14336</x:v>
      </x:c>
      <x:c r="P239" s="2949" t="n">
        <x:f>IF(OR(E239="",F239="",G239=""),"",((H239+I239)*1024)/(E239*F239*G239/4096))</x:f>
        <x:v>192</x:v>
      </x:c>
      <x:c r="Q239" s="2949" t="n">
        <x:f>IF(OR(E239="",F239="",G239=""),"",(E239*F239*4)/(E239*F239*G239/4096))</x:f>
        <x:v>128</x:v>
      </x:c>
      <x:c r="R239" s="2947" t="n">
        <x:f>IF(AND(ISNUMBER(K239),K239&gt;0,ISNUMBER(P239),P239&gt;0),MIN(1,K239/P239),"")</x:f>
        <x:v>0.6666666666666666</x:v>
      </x:c>
      <x:c r="S239" s="2947" t="n">
        <x:f>IF(AND(ISNUMBER(K239),K239&gt;0,ISNUMBER(Q239),Q239&gt;0),MIN(1,K239/Q239),"")</x:f>
        <x:v>1</x:v>
      </x:c>
      <x:c r="T239" s="2947" t="n">
        <x:f>IF(AND(ISNUMBER(R239),ISNUMBER(S239)),MIN(R239,S239),"")</x:f>
        <x:v>0.6666666666666666</x:v>
      </x:c>
      <x:c r="U239" s="2949" t="n">
        <x:f>IF(AND(ISNUMBER(M239),ISNUMBER(T239)),(M239-T239)*100,"")</x:f>
        <x:v>-36.666666666666664</x:v>
      </x:c>
      <x:c r="V239" s="2970" t="n">
        <x:v>18171</x:v>
      </x:c>
      <x:c r="W239" s="2947" t="n">
        <x:v>0.789</x:v>
      </x:c>
      <x:c r="X239" s="2947" t="n">
        <x:f>IF(AND(ISNUMBER(L239),ISNUMBER(V239),L239&gt;0,V239&gt;0),(L239-V239)/L239,"")</x:f>
        <x:v>0.23824096587574412</x:v>
      </x:c>
      <x:c r="Y239" s="2956" t="n">
        <x:f>IF(AND(ISNUMBER(L239),ISNUMBER(V239),L239&gt;0,V239&gt;0),L239/V239,"")</x:f>
        <x:v>1.3127510868967036</x:v>
      </x:c>
      <x:c r="Z239" s="2947" t="n">
        <x:f>IF(AND(ISNUMBER(C239),ISNUMBER(F239),C239&gt;0,F239&gt;0),1-F239/C239,"")</x:f>
        <x:v>0</x:v>
      </x:c>
      <x:c r="AA239" s="2951" t="inlineStr">
        <x:is>
          <x:t xml:space="preserve">PASS</x:t>
        </x:is>
      </x:c>
      <x:c r="AB239" s="2951" t="inlineStr">
        <x:is>
          <x:t xml:space="preserve">PASS</x:t>
        </x:is>
      </x:c>
      <x:c r="AC239" s="2952" t="inlineStr">
        <x:is>
          <x:t xml:space="preserve">本轮 model-main ae058a98 + 6参数(无SoC带宽/延迟) 2026-09-26</x:t>
        </x:is>
      </x:c>
    </x:row>
    <x:row r="240" ht="20" customHeight="1">
      <x:c r="A240" s="2891" t="inlineStr">
        <x:is>
          <x:t xml:space="preserve">FP16</x:t>
        </x:is>
      </x:c>
      <x:c r="B240" s="2976" t="n">
        <x:v>64</x:v>
      </x:c>
      <x:c r="C240" s="2976" t="n">
        <x:v>64</x:v>
      </x:c>
      <x:c r="D240" s="2976" t="n">
        <x:v>7168</x:v>
      </x:c>
      <x:c r="E240" s="2976" t="n">
        <x:v>128</x:v>
      </x:c>
      <x:c r="F240" s="2976" t="n">
        <x:v>64</x:v>
      </x:c>
      <x:c r="G240" s="2976" t="n">
        <x:v>256</x:v>
      </x:c>
      <x:c r="H240" s="2977" t="n">
        <x:v>64</x:v>
      </x:c>
      <x:c r="I240" s="2977" t="n">
        <x:v>32</x:v>
      </x:c>
      <x:c r="J240" s="2977" t="n">
        <x:v>96</x:v>
      </x:c>
      <x:c r="K240" s="2978" t="n">
        <x:v>128</x:v>
      </x:c>
      <x:c r="L240" s="2976" t="n">
        <x:v>24121</x:v>
      </x:c>
      <x:c r="M240" s="2895" t="n">
        <x:f>IF(AND(ISNUMBER(L240),L240&gt;0),ROUND(B240*C240*D240/4096/L240*100,1)/100,"")</x:f>
        <x:v>0.297</x:v>
      </x:c>
      <x:c r="N240" s="2976" t="n">
        <x:f>IF(OR(B240="",C240="",D240="",E240="",F240="",G240=""),"",ROUNDUP(B240/MIN(E240,128),0)*(C240/F240)*(D240/G240)*((MIN(B240,MIN(E240,128))+F240)*G240*2/1024))</x:f>
        <x:v>1792</x:v>
      </x:c>
      <x:c r="O240" s="2896" t="n">
        <x:f>IF(AND(ISNUMBER(N240),ISNUMBER(K240),K240&gt;0),N240*1024/K240,"")</x:f>
        <x:v>14336</x:v>
      </x:c>
      <x:c r="P240" s="2897" t="n">
        <x:f>IF(OR(E240="",F240="",G240=""),"",((H240+I240)*1024)/(E240*F240*G240/4096))</x:f>
        <x:v>192</x:v>
      </x:c>
      <x:c r="Q240" s="2897" t="n">
        <x:f>IF(OR(E240="",F240="",G240=""),"",(E240*F240*4)/(E240*F240*G240/4096))</x:f>
        <x:v>64</x:v>
      </x:c>
      <x:c r="R240" s="2895" t="n">
        <x:f>IF(AND(ISNUMBER(K240),K240&gt;0,ISNUMBER(P240),P240&gt;0),MIN(1,K240/P240),"")</x:f>
        <x:v>0.6666666666666666</x:v>
      </x:c>
      <x:c r="S240" s="2895" t="n">
        <x:f>IF(AND(ISNUMBER(K240),K240&gt;0,ISNUMBER(Q240),Q240&gt;0),MIN(1,K240/Q240),"")</x:f>
        <x:v>1</x:v>
      </x:c>
      <x:c r="T240" s="2895" t="n">
        <x:f>IF(AND(ISNUMBER(R240),ISNUMBER(S240)),MIN(R240,S240),"")</x:f>
        <x:v>0.6666666666666666</x:v>
      </x:c>
      <x:c r="U240" s="2897" t="n">
        <x:f>IF(AND(ISNUMBER(M240),ISNUMBER(T240)),(M240-T240)*100,"")</x:f>
        <x:v>-36.96666666666666</x:v>
      </x:c>
      <x:c r="V240" s="2976" t="n">
        <x:v>18258</x:v>
      </x:c>
      <x:c r="W240" s="2895" t="n">
        <x:v>0.785</x:v>
      </x:c>
      <x:c r="X240" s="2895" t="n">
        <x:f>IF(AND(ISNUMBER(L240),ISNUMBER(V240),L240&gt;0,V240&gt;0),(L240-V240)/L240,"")</x:f>
        <x:v>0.24306620786866215</x:v>
      </x:c>
      <x:c r="Y240" s="2958" t="n">
        <x:f>IF(AND(ISNUMBER(L240),ISNUMBER(V240),L240&gt;0,V240&gt;0),L240/V240,"")</x:f>
        <x:v>1.3211195092562165</x:v>
      </x:c>
      <x:c r="Z240" s="2895" t="n">
        <x:f>IF(AND(ISNUMBER(C240),ISNUMBER(F240),C240&gt;0,F240&gt;0),1-F240/C240,"")</x:f>
        <x:v>0</x:v>
      </x:c>
      <x:c r="AA240" s="2935" t="inlineStr">
        <x:is>
          <x:t xml:space="preserve">PASS</x:t>
        </x:is>
      </x:c>
      <x:c r="AB240" s="2935" t="inlineStr">
        <x:is>
          <x:t xml:space="preserve">PASS</x:t>
        </x:is>
      </x:c>
      <x:c r="AC240" s="2905" t="inlineStr">
        <x:is>
          <x:t xml:space="preserve">本轮 model-main ae058a98 + 6参数(无SoC带宽/延迟) 2026-09-26</x:t>
        </x:is>
      </x:c>
    </x:row>
    <x:row r="241" ht="20" customHeight="1">
      <x:c r="A241" s="2891" t="inlineStr">
        <x:is>
          <x:t xml:space="preserve">FP16</x:t>
        </x:is>
      </x:c>
      <x:c r="B241" s="2976" t="n">
        <x:v>64</x:v>
      </x:c>
      <x:c r="C241" s="2976" t="n">
        <x:v>64</x:v>
      </x:c>
      <x:c r="D241" s="2976" t="n">
        <x:v>7168</x:v>
      </x:c>
      <x:c r="E241" s="2976" t="n">
        <x:v>128</x:v>
      </x:c>
      <x:c r="F241" s="2976" t="n">
        <x:v>64</x:v>
      </x:c>
      <x:c r="G241" s="2976" t="n">
        <x:v>512</x:v>
      </x:c>
      <x:c r="H241" s="2977" t="n">
        <x:v>128</x:v>
      </x:c>
      <x:c r="I241" s="2977" t="n">
        <x:v>64</x:v>
      </x:c>
      <x:c r="J241" s="2977" t="n">
        <x:v>192</x:v>
      </x:c>
      <x:c r="K241" s="2978" t="n">
        <x:v>128</x:v>
      </x:c>
      <x:c r="L241" s="2976" t="n">
        <x:v>42418</x:v>
      </x:c>
      <x:c r="M241" s="2895" t="n">
        <x:f>IF(AND(ISNUMBER(L241),L241&gt;0),ROUND(B241*C241*D241/4096/L241*100,1)/100,"")</x:f>
        <x:v>0.16899999999999998</x:v>
      </x:c>
      <x:c r="N241" s="2976" t="n">
        <x:f>IF(OR(B241="",C241="",D241="",E241="",F241="",G241=""),"",ROUNDUP(B241/MIN(E241,128),0)*(C241/F241)*(D241/G241)*((MIN(B241,MIN(E241,128))+F241)*G241*2/1024))</x:f>
        <x:v>1792</x:v>
      </x:c>
      <x:c r="O241" s="2896" t="n">
        <x:f>IF(AND(ISNUMBER(N241),ISNUMBER(K241),K241&gt;0),N241*1024/K241,"")</x:f>
        <x:v>14336</x:v>
      </x:c>
      <x:c r="P241" s="2897" t="n">
        <x:f>IF(OR(E241="",F241="",G241=""),"",((H241+I241)*1024)/(E241*F241*G241/4096))</x:f>
        <x:v>192</x:v>
      </x:c>
      <x:c r="Q241" s="2897" t="n">
        <x:f>IF(OR(E241="",F241="",G241=""),"",(E241*F241*4)/(E241*F241*G241/4096))</x:f>
        <x:v>32</x:v>
      </x:c>
      <x:c r="R241" s="2895" t="n">
        <x:f>IF(AND(ISNUMBER(K241),K241&gt;0,ISNUMBER(P241),P241&gt;0),MIN(1,K241/P241),"")</x:f>
        <x:v>0.6666666666666666</x:v>
      </x:c>
      <x:c r="S241" s="2895" t="n">
        <x:f>IF(AND(ISNUMBER(K241),K241&gt;0,ISNUMBER(Q241),Q241&gt;0),MIN(1,K241/Q241),"")</x:f>
        <x:v>1</x:v>
      </x:c>
      <x:c r="T241" s="2895" t="n">
        <x:f>IF(AND(ISNUMBER(R241),ISNUMBER(S241)),MIN(R241,S241),"")</x:f>
        <x:v>0.6666666666666666</x:v>
      </x:c>
      <x:c r="U241" s="2897" t="n">
        <x:f>IF(AND(ISNUMBER(M241),ISNUMBER(T241)),(M241-T241)*100,"")</x:f>
        <x:v>-49.766666666666666</x:v>
      </x:c>
      <x:c r="V241" s="2976" t="n">
        <x:v>18508</x:v>
      </x:c>
      <x:c r="W241" s="2895" t="n">
        <x:v>0.775</x:v>
      </x:c>
      <x:c r="X241" s="2895" t="n">
        <x:f>IF(AND(ISNUMBER(L241),ISNUMBER(V241),L241&gt;0,V241&gt;0),(L241-V241)/L241,"")</x:f>
        <x:v>0.5636757980102787</x:v>
      </x:c>
      <x:c r="Y241" s="2958" t="n">
        <x:f>IF(AND(ISNUMBER(L241),ISNUMBER(V241),L241&gt;0,V241&gt;0),L241/V241,"")</x:f>
        <x:v>2.291873784309488</x:v>
      </x:c>
      <x:c r="Z241" s="2895" t="n">
        <x:f>IF(AND(ISNUMBER(C241),ISNUMBER(F241),C241&gt;0,F241&gt;0),1-F241/C241,"")</x:f>
        <x:v>0</x:v>
      </x:c>
      <x:c r="AA241" s="2935" t="inlineStr">
        <x:is>
          <x:t xml:space="preserve">PASS</x:t>
        </x:is>
      </x:c>
      <x:c r="AB241" s="2935" t="inlineStr">
        <x:is>
          <x:t xml:space="preserve">PASS</x:t>
        </x:is>
      </x:c>
      <x:c r="AC241" s="2905" t="inlineStr">
        <x:is>
          <x:t xml:space="preserve">本轮 model-main ae058a98 + 6参数(无SoC带宽/延迟) 2026-09-26</x:t>
        </x:is>
      </x:c>
    </x:row>
    <x:row r="242" ht="20" customHeight="1">
      <x:c r="A242" s="2822" t="inlineStr">
        <x:is>
          <x:t xml:space="preserve">FP8</x:t>
        </x:is>
      </x:c>
      <x:c r="B242" s="2964" t="n"/>
      <x:c r="C242" s="2964" t="n"/>
      <x:c r="D242" s="2964" t="n"/>
      <x:c r="E242" s="2964" t="n"/>
      <x:c r="F242" s="2964" t="n"/>
      <x:c r="G242" s="2964" t="n"/>
      <x:c r="H242" s="2965" t="n"/>
      <x:c r="I242" s="2965" t="n"/>
      <x:c r="J242" s="2965" t="n"/>
      <x:c r="K242" s="2966"/>
      <x:c r="L242" s="2964" t="n"/>
      <x:c r="M242" s="2826" t="str"/>
      <x:c r="N242" s="2964" t="str"/>
      <x:c r="O242" s="2827" t="str"/>
      <x:c r="P242" s="2828" t="str"/>
      <x:c r="Q242" s="2828" t="str"/>
      <x:c r="R242" s="2826" t="str"/>
      <x:c r="S242" s="2826" t="str"/>
      <x:c r="T242" s="2826" t="str"/>
      <x:c r="U242" s="2828" t="str"/>
      <x:c r="V242" s="2964" t="n"/>
      <x:c r="W242" s="2826" t="n"/>
      <x:c r="X242" s="2826" t="n"/>
      <x:c r="Y242" s="2954" t="n"/>
      <x:c r="Z242" s="2826" t="n"/>
      <x:c r="AA242" s="2822" t="n"/>
      <x:c r="AB242" s="2822" t="n"/>
      <x:c r="AC242" s="2822" t="n"/>
    </x:row>
    <x:row r="243" ht="20" customHeight="1">
      <x:c r="A243" s="2916" t="inlineStr">
        <x:is>
          <x:t xml:space="preserve">FP8</x:t>
        </x:is>
      </x:c>
      <x:c r="B243" s="2979" t="n">
        <x:v>64</x:v>
      </x:c>
      <x:c r="C243" s="2979" t="n">
        <x:v>64</x:v>
      </x:c>
      <x:c r="D243" s="2979" t="n">
        <x:v>7168</x:v>
      </x:c>
      <x:c r="E243" s="2979" t="n">
        <x:v>128</x:v>
      </x:c>
      <x:c r="F243" s="2979" t="n">
        <x:v>64</x:v>
      </x:c>
      <x:c r="G243" s="2979" t="n">
        <x:v>256</x:v>
      </x:c>
      <x:c r="H243" s="2980" t="n">
        <x:v>32</x:v>
      </x:c>
      <x:c r="I243" s="2980" t="n">
        <x:v>16</x:v>
      </x:c>
      <x:c r="J243" s="2980" t="n">
        <x:v>48</x:v>
      </x:c>
      <x:c r="K243" s="2981" t="n">
        <x:v>128</x:v>
      </x:c>
      <x:c r="L243" s="2979" t="n">
        <x:v>12567</x:v>
      </x:c>
      <x:c r="M243" s="2920" t="n">
        <x:f>IF(AND(ISNUMBER(L243),L243&gt;0),ROUND(B243*C243*D243/8192/L243*100,1)/100,"")</x:f>
        <x:v>0.285</x:v>
      </x:c>
      <x:c r="N243" s="2979" t="n">
        <x:f>IF(OR(B243="",C243="",D243="",E243="",F243="",G243=""),"",ROUNDUP(B243/MIN(E243,128),0)*(C243/F243)*(D243/G243)*((MIN(B243,MIN(E243,128))+F243)*G243*1/1024))</x:f>
        <x:v>896</x:v>
      </x:c>
      <x:c r="O243" s="2921" t="n">
        <x:f>IF(AND(ISNUMBER(N243),ISNUMBER(K243),K243&gt;0),N243*1024/K243,"")</x:f>
        <x:v>7168</x:v>
      </x:c>
      <x:c r="P243" s="2922" t="n">
        <x:f>IF(OR(E243="",F243="",G243=""),"",((H243+I243)*1024)/(E243*F243*G243/8192))</x:f>
        <x:v>192</x:v>
      </x:c>
      <x:c r="Q243" s="2922" t="n">
        <x:f>IF(OR(E243="",F243="",G243=""),"",(E243*F243*4)/(E243*F243*G243/8192))</x:f>
        <x:v>128</x:v>
      </x:c>
      <x:c r="R243" s="2920" t="n">
        <x:f>IF(AND(ISNUMBER(K243),K243&gt;0,ISNUMBER(P243),P243&gt;0),MIN(1,K243/P243),"")</x:f>
        <x:v>0.6666666666666666</x:v>
      </x:c>
      <x:c r="S243" s="2920" t="n">
        <x:f>IF(AND(ISNUMBER(K243),K243&gt;0,ISNUMBER(Q243),Q243&gt;0),MIN(1,K243/Q243),"")</x:f>
        <x:v>1</x:v>
      </x:c>
      <x:c r="T243" s="2920" t="n">
        <x:f>IF(AND(ISNUMBER(R243),ISNUMBER(S243)),MIN(R243,S243),"")</x:f>
        <x:v>0.6666666666666666</x:v>
      </x:c>
      <x:c r="U243" s="2922" t="n">
        <x:f>IF(AND(ISNUMBER(M243),ISNUMBER(T243)),(M243-T243)*100,"")</x:f>
        <x:v>-38.166666666666664</x:v>
      </x:c>
      <x:c r="V243" s="2979" t="n"/>
      <x:c r="W243" s="2920" t="n"/>
      <x:c r="X243" s="2920" t="n"/>
      <x:c r="Y243" s="2959" t="n"/>
      <x:c r="Z243" s="2920" t="n"/>
      <x:c r="AA243" s="2937" t="n"/>
      <x:c r="AB243" s="2938" t="inlineStr">
        <x:is>
          <x:t xml:space="preserve">PASS</x:t>
        </x:is>
      </x:c>
      <x:c r="AC243" s="2930" t="inlineStr">
        <x:is>
          <x:t xml:space="preserve">matmul_shared_lowp（FP8）；本轮 model-main ae058a98 + 6参数(无SoC带宽/延迟) 2026-09-26</x:t>
        </x:is>
      </x:c>
    </x:row>
    <x:row r="244" ht="20" customHeight="1">
      <x:c r="A244" s="2916" t="inlineStr">
        <x:is>
          <x:t xml:space="preserve">FP8</x:t>
        </x:is>
      </x:c>
      <x:c r="B244" s="2979" t="n">
        <x:v>64</x:v>
      </x:c>
      <x:c r="C244" s="2979" t="n">
        <x:v>64</x:v>
      </x:c>
      <x:c r="D244" s="2979" t="n">
        <x:v>7168</x:v>
      </x:c>
      <x:c r="E244" s="2979" t="n">
        <x:v>128</x:v>
      </x:c>
      <x:c r="F244" s="2979" t="n">
        <x:v>64</x:v>
      </x:c>
      <x:c r="G244" s="2979" t="n">
        <x:v>512</x:v>
      </x:c>
      <x:c r="H244" s="2980" t="n">
        <x:v>64</x:v>
      </x:c>
      <x:c r="I244" s="2980" t="n">
        <x:v>32</x:v>
      </x:c>
      <x:c r="J244" s="2980" t="n">
        <x:v>96</x:v>
      </x:c>
      <x:c r="K244" s="2981" t="n">
        <x:v>128</x:v>
      </x:c>
      <x:c r="L244" s="2979" t="n">
        <x:v>12867</x:v>
      </x:c>
      <x:c r="M244" s="2920" t="n">
        <x:f>IF(AND(ISNUMBER(L244),L244&gt;0),ROUND(B244*C244*D244/8192/L244*100,1)/100,"")</x:f>
        <x:v>0.27899999999999997</x:v>
      </x:c>
      <x:c r="N244" s="2979" t="n">
        <x:f>IF(OR(B244="",C244="",D244="",E244="",F244="",G244=""),"",ROUNDUP(B244/MIN(E244,128),0)*(C244/F244)*(D244/G244)*((MIN(B244,MIN(E244,128))+F244)*G244*1/1024))</x:f>
        <x:v>896</x:v>
      </x:c>
      <x:c r="O244" s="2921" t="n">
        <x:f>IF(AND(ISNUMBER(N244),ISNUMBER(K244),K244&gt;0),N244*1024/K244,"")</x:f>
        <x:v>7168</x:v>
      </x:c>
      <x:c r="P244" s="2922" t="n">
        <x:f>IF(OR(E244="",F244="",G244=""),"",((H244+I244)*1024)/(E244*F244*G244/8192))</x:f>
        <x:v>192</x:v>
      </x:c>
      <x:c r="Q244" s="2922" t="n">
        <x:f>IF(OR(E244="",F244="",G244=""),"",(E244*F244*4)/(E244*F244*G244/8192))</x:f>
        <x:v>64</x:v>
      </x:c>
      <x:c r="R244" s="2920" t="n">
        <x:f>IF(AND(ISNUMBER(K244),K244&gt;0,ISNUMBER(P244),P244&gt;0),MIN(1,K244/P244),"")</x:f>
        <x:v>0.6666666666666666</x:v>
      </x:c>
      <x:c r="S244" s="2920" t="n">
        <x:f>IF(AND(ISNUMBER(K244),K244&gt;0,ISNUMBER(Q244),Q244&gt;0),MIN(1,K244/Q244),"")</x:f>
        <x:v>1</x:v>
      </x:c>
      <x:c r="T244" s="2920" t="n">
        <x:f>IF(AND(ISNUMBER(R244),ISNUMBER(S244)),MIN(R244,S244),"")</x:f>
        <x:v>0.6666666666666666</x:v>
      </x:c>
      <x:c r="U244" s="2922" t="n">
        <x:f>IF(AND(ISNUMBER(M244),ISNUMBER(T244)),(M244-T244)*100,"")</x:f>
        <x:v>-38.766666666666666</x:v>
      </x:c>
      <x:c r="V244" s="2979" t="n"/>
      <x:c r="W244" s="2920" t="n"/>
      <x:c r="X244" s="2920" t="n"/>
      <x:c r="Y244" s="2959" t="n"/>
      <x:c r="Z244" s="2920" t="n"/>
      <x:c r="AA244" s="2937" t="n"/>
      <x:c r="AB244" s="2938" t="inlineStr">
        <x:is>
          <x:t xml:space="preserve">PASS</x:t>
        </x:is>
      </x:c>
      <x:c r="AC244" s="2930" t="inlineStr">
        <x:is>
          <x:t xml:space="preserve">matmul_shared_lowp（FP8）；本轮 model-main ae058a98 + 6参数(无SoC带宽/延迟) 2026-09-26</x:t>
        </x:is>
      </x:c>
    </x:row>
    <x:row r="245" ht="20" customHeight="1">
      <x:c r="A245" s="2916" t="inlineStr">
        <x:is>
          <x:t xml:space="preserve">FP8</x:t>
        </x:is>
      </x:c>
      <x:c r="B245" s="2979" t="n">
        <x:v>64</x:v>
      </x:c>
      <x:c r="C245" s="2979" t="n">
        <x:v>64</x:v>
      </x:c>
      <x:c r="D245" s="2979" t="n">
        <x:v>7168</x:v>
      </x:c>
      <x:c r="E245" s="2979" t="n">
        <x:v>128</x:v>
      </x:c>
      <x:c r="F245" s="2979" t="n">
        <x:v>64</x:v>
      </x:c>
      <x:c r="G245" s="2979" t="n">
        <x:v>1024</x:v>
      </x:c>
      <x:c r="H245" s="2980" t="n">
        <x:v>128</x:v>
      </x:c>
      <x:c r="I245" s="2980" t="n">
        <x:v>64</x:v>
      </x:c>
      <x:c r="J245" s="2980" t="n">
        <x:v>192</x:v>
      </x:c>
      <x:c r="K245" s="2981" t="n">
        <x:v>128</x:v>
      </x:c>
      <x:c r="L245" s="2979" t="n">
        <x:v>21606</x:v>
      </x:c>
      <x:c r="M245" s="2920" t="n">
        <x:f>IF(AND(ISNUMBER(L245),L245&gt;0),ROUND(B245*C245*D245/8192/L245*100,1)/100,"")</x:f>
        <x:v>0.166</x:v>
      </x:c>
      <x:c r="N245" s="2979" t="n">
        <x:f>IF(OR(B245="",C245="",D245="",E245="",F245="",G245=""),"",ROUNDUP(B245/MIN(E245,128),0)*(C245/F245)*(D245/G245)*((MIN(B245,MIN(E245,128))+F245)*G245*1/1024))</x:f>
        <x:v>896</x:v>
      </x:c>
      <x:c r="O245" s="2921" t="n">
        <x:f>IF(AND(ISNUMBER(N245),ISNUMBER(K245),K245&gt;0),N245*1024/K245,"")</x:f>
        <x:v>7168</x:v>
      </x:c>
      <x:c r="P245" s="2922" t="n">
        <x:f>IF(OR(E245="",F245="",G245=""),"",((H245+I245)*1024)/(E245*F245*G245/8192))</x:f>
        <x:v>192</x:v>
      </x:c>
      <x:c r="Q245" s="2922" t="n">
        <x:f>IF(OR(E245="",F245="",G245=""),"",(E245*F245*4)/(E245*F245*G245/8192))</x:f>
        <x:v>32</x:v>
      </x:c>
      <x:c r="R245" s="2920" t="n">
        <x:f>IF(AND(ISNUMBER(K245),K245&gt;0,ISNUMBER(P245),P245&gt;0),MIN(1,K245/P245),"")</x:f>
        <x:v>0.6666666666666666</x:v>
      </x:c>
      <x:c r="S245" s="2920" t="n">
        <x:f>IF(AND(ISNUMBER(K245),K245&gt;0,ISNUMBER(Q245),Q245&gt;0),MIN(1,K245/Q245),"")</x:f>
        <x:v>1</x:v>
      </x:c>
      <x:c r="T245" s="2920" t="n">
        <x:f>IF(AND(ISNUMBER(R245),ISNUMBER(S245)),MIN(R245,S245),"")</x:f>
        <x:v>0.6666666666666666</x:v>
      </x:c>
      <x:c r="U245" s="2922" t="n">
        <x:f>IF(AND(ISNUMBER(M245),ISNUMBER(T245)),(M245-T245)*100,"")</x:f>
        <x:v>-50.06666666666666</x:v>
      </x:c>
      <x:c r="V245" s="2979" t="n"/>
      <x:c r="W245" s="2920" t="n"/>
      <x:c r="X245" s="2920" t="n"/>
      <x:c r="Y245" s="2959" t="n"/>
      <x:c r="Z245" s="2920" t="n"/>
      <x:c r="AA245" s="2937" t="n"/>
      <x:c r="AB245" s="2938" t="inlineStr">
        <x:is>
          <x:t xml:space="preserve">PASS</x:t>
        </x:is>
      </x:c>
      <x:c r="AC245" s="2930" t="inlineStr">
        <x:is>
          <x:t xml:space="preserve">matmul_shared_lowp（FP8）；本轮 model-main ae058a98 + 6参数(无SoC带宽/延迟) 2026-09-26</x:t>
        </x:is>
      </x:c>
    </x:row>
    <x:row r="246" ht="20" customHeight="1">
      <x:c r="A246" s="2822" t="inlineStr">
        <x:is>
          <x:t xml:space="preserve">MXFP8</x:t>
        </x:is>
      </x:c>
      <x:c r="B246" s="2964" t="n"/>
      <x:c r="C246" s="2964" t="n"/>
      <x:c r="D246" s="2964" t="n"/>
      <x:c r="E246" s="2964" t="n"/>
      <x:c r="F246" s="2964" t="n"/>
      <x:c r="G246" s="2964" t="n"/>
      <x:c r="H246" s="2965" t="n"/>
      <x:c r="I246" s="2965" t="n"/>
      <x:c r="J246" s="2965" t="n"/>
      <x:c r="K246" s="2966"/>
      <x:c r="L246" s="2964" t="n"/>
      <x:c r="M246" s="2826" t="str"/>
      <x:c r="N246" s="2964" t="str"/>
      <x:c r="O246" s="2827" t="str"/>
      <x:c r="P246" s="2828" t="str"/>
      <x:c r="Q246" s="2828" t="str"/>
      <x:c r="R246" s="2826" t="str"/>
      <x:c r="S246" s="2826" t="str"/>
      <x:c r="T246" s="2826" t="str"/>
      <x:c r="U246" s="2828" t="str"/>
      <x:c r="V246" s="2964" t="n"/>
      <x:c r="W246" s="2826" t="n"/>
      <x:c r="X246" s="2826" t="n"/>
      <x:c r="Y246" s="2954" t="n"/>
      <x:c r="Z246" s="2826" t="n"/>
      <x:c r="AA246" s="2822" t="n"/>
      <x:c r="AB246" s="2822" t="n"/>
      <x:c r="AC246" s="2822" t="n"/>
    </x:row>
    <x:row r="247" ht="20" customHeight="1">
      <x:c r="A247" s="2841" t="inlineStr">
        <x:is>
          <x:t xml:space="preserve">MXFP8</x:t>
        </x:is>
      </x:c>
      <x:c r="B247" s="2967" t="n">
        <x:v>64</x:v>
      </x:c>
      <x:c r="C247" s="2967" t="n">
        <x:v>64</x:v>
      </x:c>
      <x:c r="D247" s="2967" t="n">
        <x:v>7168</x:v>
      </x:c>
      <x:c r="E247" s="2967" t="n">
        <x:v>128</x:v>
      </x:c>
      <x:c r="F247" s="2967" t="n">
        <x:v>64</x:v>
      </x:c>
      <x:c r="G247" s="2967" t="n">
        <x:v>256</x:v>
      </x:c>
      <x:c r="H247" s="2968" t="n">
        <x:v>36</x:v>
      </x:c>
      <x:c r="I247" s="2968" t="n">
        <x:v>18</x:v>
      </x:c>
      <x:c r="J247" s="2968" t="n">
        <x:v>54</x:v>
      </x:c>
      <x:c r="K247" s="2969" t="n">
        <x:v>128</x:v>
      </x:c>
      <x:c r="L247" s="2967" t="n">
        <x:v>14617</x:v>
      </x:c>
      <x:c r="M247" s="2845" t="n">
        <x:f>IF(AND(ISNUMBER(L247),L247&gt;0),ROUND(B247*C247*D247/8192/L247*100,1)/100,"")</x:f>
        <x:v>0.245</x:v>
      </x:c>
      <x:c r="N247" s="2967" t="n">
        <x:f>IF(OR(B247="",C247="",D247="",E247="",F247="",G247=""),"",ROUNDUP(B247/MIN(E247,128),0)*(C247/F247)*(D247/G247)*((MIN(B247,MIN(E247,128))+F247)*G247*(33/32)/1024))</x:f>
        <x:v>924</x:v>
      </x:c>
      <x:c r="O247" s="2846" t="n">
        <x:f>IF(AND(ISNUMBER(N247),ISNUMBER(K247),K247&gt;0),N247*1024/K247,"")</x:f>
        <x:v>7392</x:v>
      </x:c>
      <x:c r="P247" s="2847" t="n">
        <x:f>IF(OR(E247="",F247="",G247=""),"",((H247+I247)*1024)/(E247*F247*G247/8192))</x:f>
        <x:v>216</x:v>
      </x:c>
      <x:c r="Q247" s="2847" t="n">
        <x:f>IF(OR(E247="",F247="",G247=""),"",(E247*F247*4)/(E247*F247*G247/8192))</x:f>
        <x:v>128</x:v>
      </x:c>
      <x:c r="R247" s="2845" t="n">
        <x:f>IF(AND(ISNUMBER(K247),K247&gt;0,ISNUMBER(P247),P247&gt;0),MIN(1,K247/P247),"")</x:f>
        <x:v>0.5925925925925926</x:v>
      </x:c>
      <x:c r="S247" s="2845" t="n">
        <x:f>IF(AND(ISNUMBER(K247),K247&gt;0,ISNUMBER(Q247),Q247&gt;0),MIN(1,K247/Q247),"")</x:f>
        <x:v>1</x:v>
      </x:c>
      <x:c r="T247" s="2845" t="n">
        <x:f>IF(AND(ISNUMBER(R247),ISNUMBER(S247)),MIN(R247,S247),"")</x:f>
        <x:v>0.5925925925925926</x:v>
      </x:c>
      <x:c r="U247" s="2847" t="n">
        <x:f>IF(AND(ISNUMBER(M247),ISNUMBER(T247)),(M247-T247)*100,"")</x:f>
        <x:v>-34.75925925925926</x:v>
      </x:c>
      <x:c r="V247" s="2967" t="n"/>
      <x:c r="W247" s="2845" t="n"/>
      <x:c r="X247" s="2845" t="n"/>
      <x:c r="Y247" s="2955" t="n"/>
      <x:c r="Z247" s="2845" t="n"/>
      <x:c r="AA247" s="2940" t="n"/>
      <x:c r="AB247" s="2931" t="inlineStr">
        <x:is>
          <x:t xml:space="preserve">PASS</x:t>
        </x:is>
      </x:c>
      <x:c r="AC247" s="2855" t="inlineStr">
        <x:is>
          <x:t xml:space="preserve">matmul_shared_lowp（MXFP8）；本轮 model-main ae058a98 + 6参数(无SoC带宽/延迟) 2026-09-26</x:t>
        </x:is>
      </x:c>
    </x:row>
    <x:row r="248" ht="20" customHeight="1">
      <x:c r="A248" s="2841" t="inlineStr">
        <x:is>
          <x:t xml:space="preserve">MXFP8</x:t>
        </x:is>
      </x:c>
      <x:c r="B248" s="2967" t="n">
        <x:v>64</x:v>
      </x:c>
      <x:c r="C248" s="2967" t="n">
        <x:v>64</x:v>
      </x:c>
      <x:c r="D248" s="2967" t="n">
        <x:v>7168</x:v>
      </x:c>
      <x:c r="E248" s="2967" t="n">
        <x:v>128</x:v>
      </x:c>
      <x:c r="F248" s="2967" t="n">
        <x:v>64</x:v>
      </x:c>
      <x:c r="G248" s="2967" t="n">
        <x:v>512</x:v>
      </x:c>
      <x:c r="H248" s="2968" t="n">
        <x:v>68</x:v>
      </x:c>
      <x:c r="I248" s="2968" t="n">
        <x:v>34</x:v>
      </x:c>
      <x:c r="J248" s="2968" t="n">
        <x:v>102</x:v>
      </x:c>
      <x:c r="K248" s="2969" t="n">
        <x:v>128</x:v>
      </x:c>
      <x:c r="L248" s="2967" t="n">
        <x:v>15056</x:v>
      </x:c>
      <x:c r="M248" s="2845" t="n">
        <x:f>IF(AND(ISNUMBER(L248),L248&gt;0),ROUND(B248*C248*D248/8192/L248*100,1)/100,"")</x:f>
        <x:v>0.23800000000000002</x:v>
      </x:c>
      <x:c r="N248" s="2967" t="n">
        <x:f>IF(OR(B248="",C248="",D248="",E248="",F248="",G248=""),"",ROUNDUP(B248/MIN(E248,128),0)*(C248/F248)*(D248/G248)*((MIN(B248,MIN(E248,128))+F248)*G248*(33/32)/1024))</x:f>
        <x:v>924</x:v>
      </x:c>
      <x:c r="O248" s="2846" t="n">
        <x:f>IF(AND(ISNUMBER(N248),ISNUMBER(K248),K248&gt;0),N248*1024/K248,"")</x:f>
        <x:v>7392</x:v>
      </x:c>
      <x:c r="P248" s="2847" t="n">
        <x:f>IF(OR(E248="",F248="",G248=""),"",((H248+I248)*1024)/(E248*F248*G248/8192))</x:f>
        <x:v>204</x:v>
      </x:c>
      <x:c r="Q248" s="2847" t="n">
        <x:f>IF(OR(E248="",F248="",G248=""),"",(E248*F248*4)/(E248*F248*G248/8192))</x:f>
        <x:v>64</x:v>
      </x:c>
      <x:c r="R248" s="2845" t="n">
        <x:f>IF(AND(ISNUMBER(K248),K248&gt;0,ISNUMBER(P248),P248&gt;0),MIN(1,K248/P248),"")</x:f>
        <x:v>0.6274509803921569</x:v>
      </x:c>
      <x:c r="S248" s="2845" t="n">
        <x:f>IF(AND(ISNUMBER(K248),K248&gt;0,ISNUMBER(Q248),Q248&gt;0),MIN(1,K248/Q248),"")</x:f>
        <x:v>1</x:v>
      </x:c>
      <x:c r="T248" s="2845" t="n">
        <x:f>IF(AND(ISNUMBER(R248),ISNUMBER(S248)),MIN(R248,S248),"")</x:f>
        <x:v>0.6274509803921569</x:v>
      </x:c>
      <x:c r="U248" s="2847" t="n">
        <x:f>IF(AND(ISNUMBER(M248),ISNUMBER(T248)),(M248-T248)*100,"")</x:f>
        <x:v>-38.94509803921569</x:v>
      </x:c>
      <x:c r="V248" s="2967" t="n"/>
      <x:c r="W248" s="2845" t="n"/>
      <x:c r="X248" s="2845" t="n"/>
      <x:c r="Y248" s="2955" t="n"/>
      <x:c r="Z248" s="2845" t="n"/>
      <x:c r="AA248" s="2940" t="n"/>
      <x:c r="AB248" s="2931" t="inlineStr">
        <x:is>
          <x:t xml:space="preserve">PASS</x:t>
        </x:is>
      </x:c>
      <x:c r="AC248" s="2855" t="inlineStr">
        <x:is>
          <x:t xml:space="preserve">matmul_shared_lowp（MXFP8）；本轮 model-main ae058a98 + 6参数(无SoC带宽/延迟) 2026-09-26</x:t>
        </x:is>
      </x:c>
    </x:row>
    <x:row r="249" ht="20" customHeight="1">
      <x:c r="A249" s="2841" t="inlineStr">
        <x:is>
          <x:t xml:space="preserve">MXFP8</x:t>
        </x:is>
      </x:c>
      <x:c r="B249" s="2967" t="n">
        <x:v>64</x:v>
      </x:c>
      <x:c r="C249" s="2967" t="n">
        <x:v>64</x:v>
      </x:c>
      <x:c r="D249" s="2967" t="n">
        <x:v>7168</x:v>
      </x:c>
      <x:c r="E249" s="2967" t="n">
        <x:v>128</x:v>
      </x:c>
      <x:c r="F249" s="2967" t="n">
        <x:v>64</x:v>
      </x:c>
      <x:c r="G249" s="2967" t="n">
        <x:v>1024</x:v>
      </x:c>
      <x:c r="H249" s="2968" t="n">
        <x:v>132</x:v>
      </x:c>
      <x:c r="I249" s="2968" t="n">
        <x:v>66</x:v>
      </x:c>
      <x:c r="J249" s="2968" t="n">
        <x:v>198</x:v>
      </x:c>
      <x:c r="K249" s="2969" t="n">
        <x:v>128</x:v>
      </x:c>
      <x:c r="L249" s="2967" t="n">
        <x:v>24144</x:v>
      </x:c>
      <x:c r="M249" s="2845" t="n">
        <x:f>IF(AND(ISNUMBER(L249),L249&gt;0),ROUND(B249*C249*D249/8192/L249*100,1)/100,"")</x:f>
        <x:v>0.14800000000000002</x:v>
      </x:c>
      <x:c r="N249" s="2967" t="n">
        <x:f>IF(OR(B249="",C249="",D249="",E249="",F249="",G249=""),"",ROUNDUP(B249/MIN(E249,128),0)*(C249/F249)*(D249/G249)*((MIN(B249,MIN(E249,128))+F249)*G249*(33/32)/1024))</x:f>
        <x:v>924</x:v>
      </x:c>
      <x:c r="O249" s="2846" t="n">
        <x:f>IF(AND(ISNUMBER(N249),ISNUMBER(K249),K249&gt;0),N249*1024/K249,"")</x:f>
        <x:v>7392</x:v>
      </x:c>
      <x:c r="P249" s="2847" t="n">
        <x:f>IF(OR(E249="",F249="",G249=""),"",((H249+I249)*1024)/(E249*F249*G249/8192))</x:f>
        <x:v>198</x:v>
      </x:c>
      <x:c r="Q249" s="2847" t="n">
        <x:f>IF(OR(E249="",F249="",G249=""),"",(E249*F249*4)/(E249*F249*G249/8192))</x:f>
        <x:v>32</x:v>
      </x:c>
      <x:c r="R249" s="2845" t="n">
        <x:f>IF(AND(ISNUMBER(K249),K249&gt;0,ISNUMBER(P249),P249&gt;0),MIN(1,K249/P249),"")</x:f>
        <x:v>0.6464646464646465</x:v>
      </x:c>
      <x:c r="S249" s="2845" t="n">
        <x:f>IF(AND(ISNUMBER(K249),K249&gt;0,ISNUMBER(Q249),Q249&gt;0),MIN(1,K249/Q249),"")</x:f>
        <x:v>1</x:v>
      </x:c>
      <x:c r="T249" s="2845" t="n">
        <x:f>IF(AND(ISNUMBER(R249),ISNUMBER(S249)),MIN(R249,S249),"")</x:f>
        <x:v>0.6464646464646465</x:v>
      </x:c>
      <x:c r="U249" s="2847" t="n">
        <x:f>IF(AND(ISNUMBER(M249),ISNUMBER(T249)),(M249-T249)*100,"")</x:f>
        <x:v>-49.84646464646465</x:v>
      </x:c>
      <x:c r="V249" s="2967" t="n"/>
      <x:c r="W249" s="2845" t="n"/>
      <x:c r="X249" s="2845" t="n"/>
      <x:c r="Y249" s="2955" t="n"/>
      <x:c r="Z249" s="2845" t="n"/>
      <x:c r="AA249" s="2940" t="n"/>
      <x:c r="AB249" s="2931" t="inlineStr">
        <x:is>
          <x:t xml:space="preserve">PASS</x:t>
        </x:is>
      </x:c>
      <x:c r="AC249" s="2855" t="inlineStr">
        <x:is>
          <x:t xml:space="preserve">matmul_shared_lowp（MXFP8）；本轮 model-main ae058a98 + 6参数(无SoC带宽/延迟) 2026-09-26</x:t>
        </x:is>
      </x:c>
    </x:row>
    <x:row r="250" ht="20" customHeight="1">
      <x:c r="A250" s="2822" t="inlineStr">
        <x:is>
          <x:t xml:space="preserve">MXFP4</x:t>
        </x:is>
      </x:c>
      <x:c r="B250" s="2964" t="n"/>
      <x:c r="C250" s="2964" t="n"/>
      <x:c r="D250" s="2964" t="n"/>
      <x:c r="E250" s="2964" t="n"/>
      <x:c r="F250" s="2964" t="n"/>
      <x:c r="G250" s="2964" t="n"/>
      <x:c r="H250" s="2965" t="n"/>
      <x:c r="I250" s="2965" t="n"/>
      <x:c r="J250" s="2965" t="n"/>
      <x:c r="K250" s="2966"/>
      <x:c r="L250" s="2964" t="n"/>
      <x:c r="M250" s="2826" t="str"/>
      <x:c r="N250" s="2964" t="str"/>
      <x:c r="O250" s="2827" t="str"/>
      <x:c r="P250" s="2828" t="str"/>
      <x:c r="Q250" s="2828" t="str"/>
      <x:c r="R250" s="2826" t="str"/>
      <x:c r="S250" s="2826" t="str"/>
      <x:c r="T250" s="2826" t="str"/>
      <x:c r="U250" s="2828" t="str"/>
      <x:c r="V250" s="2964" t="n"/>
      <x:c r="W250" s="2826" t="n"/>
      <x:c r="X250" s="2826" t="n"/>
      <x:c r="Y250" s="2954" t="n"/>
      <x:c r="Z250" s="2826" t="n"/>
      <x:c r="AA250" s="2822" t="n"/>
      <x:c r="AB250" s="2822" t="n"/>
      <x:c r="AC250" s="2822" t="n"/>
    </x:row>
    <x:row r="251" ht="20" customHeight="1">
      <x:c r="A251" s="2866" t="inlineStr">
        <x:is>
          <x:t xml:space="preserve">MXFP4</x:t>
        </x:is>
      </x:c>
      <x:c r="B251" s="2973" t="n">
        <x:v>64</x:v>
      </x:c>
      <x:c r="C251" s="2973" t="n">
        <x:v>64</x:v>
      </x:c>
      <x:c r="D251" s="2973" t="n">
        <x:v>7168</x:v>
      </x:c>
      <x:c r="E251" s="2973" t="n">
        <x:v>128</x:v>
      </x:c>
      <x:c r="F251" s="2973" t="n">
        <x:v>64</x:v>
      </x:c>
      <x:c r="G251" s="2973" t="n">
        <x:v>256</x:v>
      </x:c>
      <x:c r="H251" s="2974" t="n">
        <x:v>36</x:v>
      </x:c>
      <x:c r="I251" s="2974" t="n">
        <x:v>18</x:v>
      </x:c>
      <x:c r="J251" s="2974" t="n">
        <x:v>54</x:v>
      </x:c>
      <x:c r="K251" s="2975" t="n">
        <x:v>128</x:v>
      </x:c>
      <x:c r="L251" s="2973" t="n">
        <x:v>15654</x:v>
      </x:c>
      <x:c r="M251" s="2870" t="n">
        <x:f>IF(AND(ISNUMBER(L251),L251&gt;0),ROUND(B251*C251*D251/16384/L251*100,1)/100,"")</x:f>
        <x:v>0.114</x:v>
      </x:c>
      <x:c r="N251" s="2973" t="n">
        <x:f>IF(OR(B251="",C251="",D251="",E251="",F251="",G251=""),"",ROUNDUP(B251/MIN(E251,128),0)*(C251/F251)*(D251/G251)*((MIN(B251,MIN(E251,128))+F251)*G251*(17/32)/1024))</x:f>
        <x:v>476</x:v>
      </x:c>
      <x:c r="O251" s="2871" t="n">
        <x:f>IF(AND(ISNUMBER(N251),ISNUMBER(K251),K251&gt;0),N251*1024/K251,"")</x:f>
        <x:v>3808</x:v>
      </x:c>
      <x:c r="P251" s="2872" t="n">
        <x:f>IF(OR(E251="",F251="",G251=""),"",((H251+I251)*1024)/(E251*F251*G251/16384))</x:f>
        <x:v>432</x:v>
      </x:c>
      <x:c r="Q251" s="2872" t="n">
        <x:f>IF(OR(E251="",F251="",G251=""),"",(E251*F251*4)/(E251*F251*G251/16384))</x:f>
        <x:v>256</x:v>
      </x:c>
      <x:c r="R251" s="2870" t="n">
        <x:f>IF(AND(ISNUMBER(K251),K251&gt;0,ISNUMBER(P251),P251&gt;0),MIN(1,K251/P251),"")</x:f>
        <x:v>0.2962962962962963</x:v>
      </x:c>
      <x:c r="S251" s="2870" t="n">
        <x:f>IF(AND(ISNUMBER(K251),K251&gt;0,ISNUMBER(Q251),Q251&gt;0),MIN(1,K251/Q251),"")</x:f>
        <x:v>0.5</x:v>
      </x:c>
      <x:c r="T251" s="2870" t="n">
        <x:f>IF(AND(ISNUMBER(R251),ISNUMBER(S251)),MIN(R251,S251),"")</x:f>
        <x:v>0.2962962962962963</x:v>
      </x:c>
      <x:c r="U251" s="2872" t="n">
        <x:f>IF(AND(ISNUMBER(M251),ISNUMBER(T251)),(M251-T251)*100,"")</x:f>
        <x:v>-18.229629629629628</x:v>
      </x:c>
      <x:c r="V251" s="2973" t="n"/>
      <x:c r="W251" s="2870" t="n"/>
      <x:c r="X251" s="2870" t="n"/>
      <x:c r="Y251" s="2957" t="n"/>
      <x:c r="Z251" s="2870" t="n"/>
      <x:c r="AA251" s="2941" t="n"/>
      <x:c r="AB251" s="2933" t="inlineStr">
        <x:is>
          <x:t xml:space="preserve">PASS</x:t>
        </x:is>
      </x:c>
      <x:c r="AC251" s="2880" t="inlineStr">
        <x:is>
          <x:t xml:space="preserve">matmul_shared_lowp（MXFP4）；本轮 model-main ae058a98 + 6参数(无SoC带宽/延迟) 2026-09-26</x:t>
        </x:is>
      </x:c>
    </x:row>
    <x:row r="252" ht="20" customHeight="1">
      <x:c r="A252" s="2866" t="inlineStr">
        <x:is>
          <x:t xml:space="preserve">MXFP4</x:t>
        </x:is>
      </x:c>
      <x:c r="B252" s="2973" t="n">
        <x:v>64</x:v>
      </x:c>
      <x:c r="C252" s="2973" t="n">
        <x:v>64</x:v>
      </x:c>
      <x:c r="D252" s="2973" t="n">
        <x:v>7168</x:v>
      </x:c>
      <x:c r="E252" s="2973" t="n">
        <x:v>128</x:v>
      </x:c>
      <x:c r="F252" s="2973" t="n">
        <x:v>64</x:v>
      </x:c>
      <x:c r="G252" s="2973" t="n">
        <x:v>512</x:v>
      </x:c>
      <x:c r="H252" s="2974" t="n">
        <x:v>68</x:v>
      </x:c>
      <x:c r="I252" s="2974" t="n">
        <x:v>34</x:v>
      </x:c>
      <x:c r="J252" s="2974" t="n">
        <x:v>102</x:v>
      </x:c>
      <x:c r="K252" s="2975" t="n">
        <x:v>128</x:v>
      </x:c>
      <x:c r="L252" s="2973" t="n">
        <x:v>15549</x:v>
      </x:c>
      <x:c r="M252" s="2870" t="n">
        <x:f>IF(AND(ISNUMBER(L252),L252&gt;0),ROUND(B252*C252*D252/16384/L252*100,1)/100,"")</x:f>
        <x:v>0.115</x:v>
      </x:c>
      <x:c r="N252" s="2973" t="n">
        <x:f>IF(OR(B252="",C252="",D252="",E252="",F252="",G252=""),"",ROUNDUP(B252/MIN(E252,128),0)*(C252/F252)*(D252/G252)*((MIN(B252,MIN(E252,128))+F252)*G252*(17/32)/1024))</x:f>
        <x:v>476</x:v>
      </x:c>
      <x:c r="O252" s="2871" t="n">
        <x:f>IF(AND(ISNUMBER(N252),ISNUMBER(K252),K252&gt;0),N252*1024/K252,"")</x:f>
        <x:v>3808</x:v>
      </x:c>
      <x:c r="P252" s="2872" t="n">
        <x:f>IF(OR(E252="",F252="",G252=""),"",((H252+I252)*1024)/(E252*F252*G252/16384))</x:f>
        <x:v>408</x:v>
      </x:c>
      <x:c r="Q252" s="2872" t="n">
        <x:f>IF(OR(E252="",F252="",G252=""),"",(E252*F252*4)/(E252*F252*G252/16384))</x:f>
        <x:v>128</x:v>
      </x:c>
      <x:c r="R252" s="2870" t="n">
        <x:f>IF(AND(ISNUMBER(K252),K252&gt;0,ISNUMBER(P252),P252&gt;0),MIN(1,K252/P252),"")</x:f>
        <x:v>0.3137254901960784</x:v>
      </x:c>
      <x:c r="S252" s="2870" t="n">
        <x:f>IF(AND(ISNUMBER(K252),K252&gt;0,ISNUMBER(Q252),Q252&gt;0),MIN(1,K252/Q252),"")</x:f>
        <x:v>1</x:v>
      </x:c>
      <x:c r="T252" s="2870" t="n">
        <x:f>IF(AND(ISNUMBER(R252),ISNUMBER(S252)),MIN(R252,S252),"")</x:f>
        <x:v>0.3137254901960784</x:v>
      </x:c>
      <x:c r="U252" s="2872" t="n">
        <x:f>IF(AND(ISNUMBER(M252),ISNUMBER(T252)),(M252-T252)*100,"")</x:f>
        <x:v>-19.872549019607845</x:v>
      </x:c>
      <x:c r="V252" s="2973" t="n"/>
      <x:c r="W252" s="2870" t="n"/>
      <x:c r="X252" s="2870" t="n"/>
      <x:c r="Y252" s="2957" t="n"/>
      <x:c r="Z252" s="2870" t="n"/>
      <x:c r="AA252" s="2941" t="n"/>
      <x:c r="AB252" s="2933" t="inlineStr">
        <x:is>
          <x:t xml:space="preserve">PASS</x:t>
        </x:is>
      </x:c>
      <x:c r="AC252" s="2880" t="inlineStr">
        <x:is>
          <x:t xml:space="preserve">matmul_shared_lowp（MXFP4）；本轮 model-main ae058a98 + 6参数(无SoC带宽/延迟) 2026-09-26</x:t>
        </x:is>
      </x:c>
    </x:row>
    <x:row r="253" ht="20" customHeight="1">
      <x:c r="A253" s="2866" t="inlineStr">
        <x:is>
          <x:t xml:space="preserve">MXFP4</x:t>
        </x:is>
      </x:c>
      <x:c r="B253" s="2973" t="n">
        <x:v>64</x:v>
      </x:c>
      <x:c r="C253" s="2973" t="n">
        <x:v>64</x:v>
      </x:c>
      <x:c r="D253" s="2973" t="n">
        <x:v>7168</x:v>
      </x:c>
      <x:c r="E253" s="2973" t="n">
        <x:v>128</x:v>
      </x:c>
      <x:c r="F253" s="2973" t="n">
        <x:v>64</x:v>
      </x:c>
      <x:c r="G253" s="2973" t="n">
        <x:v>1024</x:v>
      </x:c>
      <x:c r="H253" s="2974" t="n">
        <x:v>132</x:v>
      </x:c>
      <x:c r="I253" s="2974" t="n">
        <x:v>66</x:v>
      </x:c>
      <x:c r="J253" s="2974" t="n">
        <x:v>198</x:v>
      </x:c>
      <x:c r="K253" s="2975" t="n">
        <x:v>128</x:v>
      </x:c>
      <x:c r="L253" s="2973" t="n">
        <x:v>22470</x:v>
      </x:c>
      <x:c r="M253" s="2870" t="n">
        <x:f>IF(AND(ISNUMBER(L253),L253&gt;0),ROUND(B253*C253*D253/16384/L253*100,1)/100,"")</x:f>
        <x:v>0.08</x:v>
      </x:c>
      <x:c r="N253" s="2973" t="n">
        <x:f>IF(OR(B253="",C253="",D253="",E253="",F253="",G253=""),"",ROUNDUP(B253/MIN(E253,128),0)*(C253/F253)*(D253/G253)*((MIN(B253,MIN(E253,128))+F253)*G253*(17/32)/1024))</x:f>
        <x:v>476</x:v>
      </x:c>
      <x:c r="O253" s="2871" t="n">
        <x:f>IF(AND(ISNUMBER(N253),ISNUMBER(K253),K253&gt;0),N253*1024/K253,"")</x:f>
        <x:v>3808</x:v>
      </x:c>
      <x:c r="P253" s="2872" t="n">
        <x:f>IF(OR(E253="",F253="",G253=""),"",((H253+I253)*1024)/(E253*F253*G253/16384))</x:f>
        <x:v>396</x:v>
      </x:c>
      <x:c r="Q253" s="2872" t="n">
        <x:f>IF(OR(E253="",F253="",G253=""),"",(E253*F253*4)/(E253*F253*G253/16384))</x:f>
        <x:v>64</x:v>
      </x:c>
      <x:c r="R253" s="2870" t="n">
        <x:f>IF(AND(ISNUMBER(K253),K253&gt;0,ISNUMBER(P253),P253&gt;0),MIN(1,K253/P253),"")</x:f>
        <x:v>0.32323232323232326</x:v>
      </x:c>
      <x:c r="S253" s="2870" t="n">
        <x:f>IF(AND(ISNUMBER(K253),K253&gt;0,ISNUMBER(Q253),Q253&gt;0),MIN(1,K253/Q253),"")</x:f>
        <x:v>1</x:v>
      </x:c>
      <x:c r="T253" s="2870" t="n">
        <x:f>IF(AND(ISNUMBER(R253),ISNUMBER(S253)),MIN(R253,S253),"")</x:f>
        <x:v>0.32323232323232326</x:v>
      </x:c>
      <x:c r="U253" s="2872" t="n">
        <x:f>IF(AND(ISNUMBER(M253),ISNUMBER(T253)),(M253-T253)*100,"")</x:f>
        <x:v>-24.323232323232325</x:v>
      </x:c>
      <x:c r="V253" s="2973" t="n"/>
      <x:c r="W253" s="2870" t="n"/>
      <x:c r="X253" s="2870" t="n"/>
      <x:c r="Y253" s="2957" t="n"/>
      <x:c r="Z253" s="2870" t="n"/>
      <x:c r="AA253" s="2941" t="n"/>
      <x:c r="AB253" s="2933" t="inlineStr">
        <x:is>
          <x:t xml:space="preserve">PASS</x:t>
        </x:is>
      </x:c>
      <x:c r="AC253" s="2880" t="inlineStr">
        <x:is>
          <x:t xml:space="preserve">matmul_shared_lowp（MXFP4）；本轮 model-main ae058a98 + 6参数(无SoC带宽/延迟) 2026-09-26</x:t>
        </x:is>
      </x:c>
    </x:row>
    <x:row r="254" ht="24" customHeight="1">
      <x:c r="A254" s="2805" t="inlineStr">
        <x:is>
          <x:t xml:space="preserve">▌ S6  —  128×256×32768</x:t>
        </x:is>
      </x:c>
      <x:c r="B254" s="2961" t="n"/>
      <x:c r="C254" s="2961" t="n"/>
      <x:c r="D254" s="2961" t="n"/>
      <x:c r="E254" s="2961" t="n"/>
      <x:c r="F254" s="2961" t="n"/>
      <x:c r="G254" s="2961" t="n"/>
      <x:c r="H254" s="2962" t="n"/>
      <x:c r="I254" s="2962" t="n"/>
      <x:c r="J254" s="2962" t="n"/>
      <x:c r="K254" s="2963"/>
      <x:c r="L254" s="2961" t="n"/>
      <x:c r="M254" s="2809" t="n"/>
      <x:c r="N254" s="2961" t="n"/>
      <x:c r="O254" s="2810" t="n"/>
      <x:c r="P254" s="2811" t="n"/>
      <x:c r="Q254" s="2811" t="n"/>
      <x:c r="R254" s="2809" t="n"/>
      <x:c r="S254" s="2809" t="n"/>
      <x:c r="T254" s="2809" t="n"/>
      <x:c r="U254" s="2811" t="n"/>
      <x:c r="V254" s="2961" t="n"/>
      <x:c r="W254" s="2809" t="n"/>
      <x:c r="X254" s="2809" t="n"/>
      <x:c r="Y254" s="2953" t="n"/>
      <x:c r="Z254" s="2809" t="n"/>
      <x:c r="AA254" s="2805" t="n"/>
      <x:c r="AB254" s="2805" t="n"/>
      <x:c r="AC254" s="2805" t="n"/>
    </x:row>
    <x:row r="255" ht="20" customHeight="1">
      <x:c r="A255" s="2822" t="inlineStr">
        <x:is>
          <x:t xml:space="preserve">FP32</x:t>
        </x:is>
      </x:c>
      <x:c r="B255" s="2964" t="n"/>
      <x:c r="C255" s="2964" t="n"/>
      <x:c r="D255" s="2964" t="n"/>
      <x:c r="E255" s="2964" t="n"/>
      <x:c r="F255" s="2964" t="n"/>
      <x:c r="G255" s="2964" t="n"/>
      <x:c r="H255" s="2965" t="n"/>
      <x:c r="I255" s="2965" t="n"/>
      <x:c r="J255" s="2965" t="n"/>
      <x:c r="K255" s="2966"/>
      <x:c r="L255" s="2964" t="n"/>
      <x:c r="M255" s="2826" t="str"/>
      <x:c r="N255" s="2964" t="str"/>
      <x:c r="O255" s="2827" t="str"/>
      <x:c r="P255" s="2828" t="str"/>
      <x:c r="Q255" s="2828" t="str"/>
      <x:c r="R255" s="2826" t="str"/>
      <x:c r="S255" s="2826" t="str"/>
      <x:c r="T255" s="2826" t="str"/>
      <x:c r="U255" s="2828" t="str"/>
      <x:c r="V255" s="2964" t="n"/>
      <x:c r="W255" s="2826" t="n"/>
      <x:c r="X255" s="2826" t="n"/>
      <x:c r="Y255" s="2954" t="n"/>
      <x:c r="Z255" s="2826" t="n"/>
      <x:c r="AA255" s="2822" t="n"/>
      <x:c r="AB255" s="2822" t="n"/>
      <x:c r="AC255" s="2822" t="n"/>
    </x:row>
    <x:row r="256" ht="20" customHeight="1">
      <x:c r="A256" s="2891" t="inlineStr">
        <x:is>
          <x:t xml:space="preserve">FP32</x:t>
        </x:is>
      </x:c>
      <x:c r="B256" s="2976" t="n">
        <x:v>128</x:v>
      </x:c>
      <x:c r="C256" s="2976" t="n">
        <x:v>256</x:v>
      </x:c>
      <x:c r="D256" s="2976" t="n">
        <x:v>32768</x:v>
      </x:c>
      <x:c r="E256" s="2976" t="n">
        <x:v>128</x:v>
      </x:c>
      <x:c r="F256" s="2976" t="n">
        <x:v>64</x:v>
      </x:c>
      <x:c r="G256" s="2976" t="n">
        <x:v>64</x:v>
      </x:c>
      <x:c r="H256" s="2977" t="n">
        <x:v>32</x:v>
      </x:c>
      <x:c r="I256" s="2977" t="n">
        <x:v>16</x:v>
      </x:c>
      <x:c r="J256" s="2977" t="n">
        <x:v>48</x:v>
      </x:c>
      <x:c r="K256" s="2978" t="n">
        <x:v>128</x:v>
      </x:c>
      <x:c r="L256" s="2976" t="n">
        <x:v>1221786</x:v>
      </x:c>
      <x:c r="M256" s="2895" t="n">
        <x:f>IF(AND(ISNUMBER(L256),L256&gt;0),ROUND(B256*C256*D256/2048/L256*100,1)/100,"")</x:f>
        <x:v>0.429</x:v>
      </x:c>
      <x:c r="N256" s="2976" t="n">
        <x:f>IF(OR(B256="",C256="",D256="",E256="",F256="",G256=""),"",ROUNDUP(B256/MIN(E256,128),0)*(C256/F256)*(D256/G256)*((MIN(B256,MIN(E256,128))+F256)*G256*4/1024))</x:f>
        <x:v>98304</x:v>
      </x:c>
      <x:c r="O256" s="2896" t="n">
        <x:f>IF(AND(ISNUMBER(N256),ISNUMBER(K256),K256&gt;0),N256*1024/K256,"")</x:f>
        <x:v>786432</x:v>
      </x:c>
      <x:c r="P256" s="2897" t="n">
        <x:f>IF(OR(E256="",F256="",G256=""),"",((H256+I256)*1024)/(E256*F256*G256/2048))</x:f>
        <x:v>192</x:v>
      </x:c>
      <x:c r="Q256" s="2897" t="n">
        <x:f>IF(OR(E256="",F256="",G256=""),"",(E256*F256*4)/(E256*F256*G256/2048))</x:f>
        <x:v>128</x:v>
      </x:c>
      <x:c r="R256" s="2895" t="n">
        <x:f>IF(AND(ISNUMBER(K256),K256&gt;0,ISNUMBER(P256),P256&gt;0),MIN(1,K256/P256),"")</x:f>
        <x:v>0.6666666666666666</x:v>
      </x:c>
      <x:c r="S256" s="2895" t="n">
        <x:f>IF(AND(ISNUMBER(K256),K256&gt;0,ISNUMBER(Q256),Q256&gt;0),MIN(1,K256/Q256),"")</x:f>
        <x:v>1</x:v>
      </x:c>
      <x:c r="T256" s="2895" t="n">
        <x:f>IF(AND(ISNUMBER(R256),ISNUMBER(S256)),MIN(R256,S256),"")</x:f>
        <x:v>0.6666666666666666</x:v>
      </x:c>
      <x:c r="U256" s="2897" t="n">
        <x:f>IF(AND(ISNUMBER(M256),ISNUMBER(T256)),(M256-T256)*100,"")</x:f>
        <x:v>-23.766666666666662</x:v>
      </x:c>
      <x:c r="V256" s="2976" t="n">
        <x:v>532213</x:v>
      </x:c>
      <x:c r="W256" s="2895" t="n">
        <x:v>0.985</x:v>
      </x:c>
      <x:c r="X256" s="2895" t="n">
        <x:f>IF(AND(ISNUMBER(L256),ISNUMBER(V256),L256&gt;0,V256&gt;0),(L256-V256)/L256,"")</x:f>
        <x:v>0.5643975295182626</x:v>
      </x:c>
      <x:c r="Y256" s="2958" t="n">
        <x:f>IF(AND(ISNUMBER(L256),ISNUMBER(V256),L256&gt;0,V256&gt;0),L256/V256,"")</x:f>
        <x:v>2.295671094092027</x:v>
      </x:c>
      <x:c r="Z256" s="2895" t="n">
        <x:f>IF(AND(ISNUMBER(C256),ISNUMBER(F256),C256&gt;0,F256&gt;0),1-F256/C256,"")</x:f>
        <x:v>0.75</x:v>
      </x:c>
      <x:c r="AA256" s="2935" t="inlineStr">
        <x:is>
          <x:t xml:space="preserve">PASS</x:t>
        </x:is>
      </x:c>
      <x:c r="AB256" s="2935" t="inlineStr">
        <x:is>
          <x:t xml:space="preserve">PASS</x:t>
        </x:is>
      </x:c>
      <x:c r="AC256" s="2905" t="inlineStr">
        <x:is>
          <x:t xml:space="preserve">本轮 model-main ae058a98 + 6参数(无SoC带宽/延迟) 2026-09-26</x:t>
        </x:is>
      </x:c>
    </x:row>
    <x:row r="257" ht="20" customHeight="1">
      <x:c r="A257" s="2891" t="inlineStr">
        <x:is>
          <x:t xml:space="preserve">FP32</x:t>
        </x:is>
      </x:c>
      <x:c r="B257" s="2976" t="n">
        <x:v>128</x:v>
      </x:c>
      <x:c r="C257" s="2976" t="n">
        <x:v>256</x:v>
      </x:c>
      <x:c r="D257" s="2976" t="n">
        <x:v>32768</x:v>
      </x:c>
      <x:c r="E257" s="2976" t="n">
        <x:v>128</x:v>
      </x:c>
      <x:c r="F257" s="2976" t="n">
        <x:v>64</x:v>
      </x:c>
      <x:c r="G257" s="2976" t="n">
        <x:v>128</x:v>
      </x:c>
      <x:c r="H257" s="2977" t="n">
        <x:v>64</x:v>
      </x:c>
      <x:c r="I257" s="2977" t="n">
        <x:v>32</x:v>
      </x:c>
      <x:c r="J257" s="2977" t="n">
        <x:v>96</x:v>
      </x:c>
      <x:c r="K257" s="2978" t="n">
        <x:v>128</x:v>
      </x:c>
      <x:c r="L257" s="2976" t="n">
        <x:v>1222226</x:v>
      </x:c>
      <x:c r="M257" s="2895" t="n">
        <x:f>IF(AND(ISNUMBER(L257),L257&gt;0),ROUND(B257*C257*D257/2048/L257*100,1)/100,"")</x:f>
        <x:v>0.429</x:v>
      </x:c>
      <x:c r="N257" s="2976" t="n">
        <x:f>IF(OR(B257="",C257="",D257="",E257="",F257="",G257=""),"",ROUNDUP(B257/MIN(E257,128),0)*(C257/F257)*(D257/G257)*((MIN(B257,MIN(E257,128))+F257)*G257*4/1024))</x:f>
        <x:v>98304</x:v>
      </x:c>
      <x:c r="O257" s="2896" t="n">
        <x:f>IF(AND(ISNUMBER(N257),ISNUMBER(K257),K257&gt;0),N257*1024/K257,"")</x:f>
        <x:v>786432</x:v>
      </x:c>
      <x:c r="P257" s="2897" t="n">
        <x:f>IF(OR(E257="",F257="",G257=""),"",((H257+I257)*1024)/(E257*F257*G257/2048))</x:f>
        <x:v>192</x:v>
      </x:c>
      <x:c r="Q257" s="2897" t="n">
        <x:f>IF(OR(E257="",F257="",G257=""),"",(E257*F257*4)/(E257*F257*G257/2048))</x:f>
        <x:v>64</x:v>
      </x:c>
      <x:c r="R257" s="2895" t="n">
        <x:f>IF(AND(ISNUMBER(K257),K257&gt;0,ISNUMBER(P257),P257&gt;0),MIN(1,K257/P257),"")</x:f>
        <x:v>0.6666666666666666</x:v>
      </x:c>
      <x:c r="S257" s="2895" t="n">
        <x:f>IF(AND(ISNUMBER(K257),K257&gt;0,ISNUMBER(Q257),Q257&gt;0),MIN(1,K257/Q257),"")</x:f>
        <x:v>1</x:v>
      </x:c>
      <x:c r="T257" s="2895" t="n">
        <x:f>IF(AND(ISNUMBER(R257),ISNUMBER(S257)),MIN(R257,S257),"")</x:f>
        <x:v>0.6666666666666666</x:v>
      </x:c>
      <x:c r="U257" s="2897" t="n">
        <x:f>IF(AND(ISNUMBER(M257),ISNUMBER(T257)),(M257-T257)*100,"")</x:f>
        <x:v>-23.766666666666662</x:v>
      </x:c>
      <x:c r="V257" s="2976" t="n">
        <x:v>529363</x:v>
      </x:c>
      <x:c r="W257" s="2895" t="n">
        <x:v>0.99</x:v>
      </x:c>
      <x:c r="X257" s="2895" t="n">
        <x:f>IF(AND(ISNUMBER(L257),ISNUMBER(V257),L257&gt;0,V257&gt;0),(L257-V257)/L257,"")</x:f>
        <x:v>0.5668861568973332</x:v>
      </x:c>
      <x:c r="Y257" s="2958" t="n">
        <x:f>IF(AND(ISNUMBER(L257),ISNUMBER(V257),L257&gt;0,V257&gt;0),L257/V257,"")</x:f>
        <x:v>2.308861782935339</x:v>
      </x:c>
      <x:c r="Z257" s="2895" t="n">
        <x:f>IF(AND(ISNUMBER(C257),ISNUMBER(F257),C257&gt;0,F257&gt;0),1-F257/C257,"")</x:f>
        <x:v>0.75</x:v>
      </x:c>
      <x:c r="AA257" s="2935" t="inlineStr">
        <x:is>
          <x:t xml:space="preserve">PASS</x:t>
        </x:is>
      </x:c>
      <x:c r="AB257" s="2935" t="inlineStr">
        <x:is>
          <x:t xml:space="preserve">PASS</x:t>
        </x:is>
      </x:c>
      <x:c r="AC257" s="2905" t="inlineStr">
        <x:is>
          <x:t xml:space="preserve">本轮 model-main ae058a98 + 6参数(无SoC带宽/延迟) 2026-09-26</x:t>
        </x:is>
      </x:c>
    </x:row>
    <x:row r="258" ht="20" customHeight="1">
      <x:c r="A258" s="2891" t="inlineStr">
        <x:is>
          <x:t xml:space="preserve">FP32</x:t>
        </x:is>
      </x:c>
      <x:c r="B258" s="2976" t="n">
        <x:v>128</x:v>
      </x:c>
      <x:c r="C258" s="2976" t="n">
        <x:v>256</x:v>
      </x:c>
      <x:c r="D258" s="2976" t="n">
        <x:v>32768</x:v>
      </x:c>
      <x:c r="E258" s="2976" t="n">
        <x:v>128</x:v>
      </x:c>
      <x:c r="F258" s="2976" t="n">
        <x:v>64</x:v>
      </x:c>
      <x:c r="G258" s="2976" t="n">
        <x:v>256</x:v>
      </x:c>
      <x:c r="H258" s="2977" t="n">
        <x:v>128</x:v>
      </x:c>
      <x:c r="I258" s="2977" t="n">
        <x:v>64</x:v>
      </x:c>
      <x:c r="J258" s="2977" t="n">
        <x:v>192</x:v>
      </x:c>
      <x:c r="K258" s="2978" t="n">
        <x:v>128</x:v>
      </x:c>
      <x:c r="L258" s="2976" t="n">
        <x:v>2460040</x:v>
      </x:c>
      <x:c r="M258" s="2895" t="n">
        <x:f>IF(AND(ISNUMBER(L258),L258&gt;0),ROUND(B258*C258*D258/2048/L258*100,1)/100,"")</x:f>
        <x:v>0.213</x:v>
      </x:c>
      <x:c r="N258" s="2976" t="n">
        <x:f>IF(OR(B258="",C258="",D258="",E258="",F258="",G258=""),"",ROUNDUP(B258/MIN(E258,128),0)*(C258/F258)*(D258/G258)*((MIN(B258,MIN(E258,128))+F258)*G258*4/1024))</x:f>
        <x:v>98304</x:v>
      </x:c>
      <x:c r="O258" s="2896" t="n">
        <x:f>IF(AND(ISNUMBER(N258),ISNUMBER(K258),K258&gt;0),N258*1024/K258,"")</x:f>
        <x:v>786432</x:v>
      </x:c>
      <x:c r="P258" s="2897" t="n">
        <x:f>IF(OR(E258="",F258="",G258=""),"",((H258+I258)*1024)/(E258*F258*G258/2048))</x:f>
        <x:v>192</x:v>
      </x:c>
      <x:c r="Q258" s="2897" t="n">
        <x:f>IF(OR(E258="",F258="",G258=""),"",(E258*F258*4)/(E258*F258*G258/2048))</x:f>
        <x:v>32</x:v>
      </x:c>
      <x:c r="R258" s="2895" t="n">
        <x:f>IF(AND(ISNUMBER(K258),K258&gt;0,ISNUMBER(P258),P258&gt;0),MIN(1,K258/P258),"")</x:f>
        <x:v>0.6666666666666666</x:v>
      </x:c>
      <x:c r="S258" s="2895" t="n">
        <x:f>IF(AND(ISNUMBER(K258),K258&gt;0,ISNUMBER(Q258),Q258&gt;0),MIN(1,K258/Q258),"")</x:f>
        <x:v>1</x:v>
      </x:c>
      <x:c r="T258" s="2895" t="n">
        <x:f>IF(AND(ISNUMBER(R258),ISNUMBER(S258)),MIN(R258,S258),"")</x:f>
        <x:v>0.6666666666666666</x:v>
      </x:c>
      <x:c r="U258" s="2897" t="n">
        <x:f>IF(AND(ISNUMBER(M258),ISNUMBER(T258)),(M258-T258)*100,"")</x:f>
        <x:v>-45.36666666666667</x:v>
      </x:c>
      <x:c r="V258" s="2976" t="n">
        <x:v>1528234</x:v>
      </x:c>
      <x:c r="W258" s="2895" t="n">
        <x:v>0.343</x:v>
      </x:c>
      <x:c r="X258" s="2895" t="n">
        <x:f>IF(AND(ISNUMBER(L258),ISNUMBER(V258),L258&gt;0,V258&gt;0),(L258-V258)/L258,"")</x:f>
        <x:v>0.3787767678574332</x:v>
      </x:c>
      <x:c r="Y258" s="2958" t="n">
        <x:f>IF(AND(ISNUMBER(L258),ISNUMBER(V258),L258&gt;0,V258&gt;0),L258/V258,"")</x:f>
        <x:v>1.609727306158612</x:v>
      </x:c>
      <x:c r="Z258" s="2895" t="n">
        <x:f>IF(AND(ISNUMBER(C258),ISNUMBER(F258),C258&gt;0,F258&gt;0),1-F258/C258,"")</x:f>
        <x:v>0.75</x:v>
      </x:c>
      <x:c r="AA258" s="2935" t="inlineStr">
        <x:is>
          <x:t xml:space="preserve">PASS</x:t>
        </x:is>
      </x:c>
      <x:c r="AB258" s="2935" t="inlineStr">
        <x:is>
          <x:t xml:space="preserve">PASS</x:t>
        </x:is>
      </x:c>
      <x:c r="AC258" s="2905" t="inlineStr">
        <x:is>
          <x:t xml:space="preserve">本轮 model-main ae058a98 + 6参数(无SoC带宽/延迟) 2026-09-26</x:t>
        </x:is>
      </x:c>
    </x:row>
    <x:row r="259" ht="20" customHeight="1">
      <x:c r="A259" s="2891" t="inlineStr">
        <x:is>
          <x:t xml:space="preserve">FP32</x:t>
        </x:is>
      </x:c>
      <x:c r="B259" s="2976" t="n">
        <x:v>128</x:v>
      </x:c>
      <x:c r="C259" s="2976" t="n">
        <x:v>256</x:v>
      </x:c>
      <x:c r="D259" s="2976" t="n">
        <x:v>32768</x:v>
      </x:c>
      <x:c r="E259" s="2976" t="n">
        <x:v>128</x:v>
      </x:c>
      <x:c r="F259" s="2976" t="n">
        <x:v>128</x:v>
      </x:c>
      <x:c r="G259" s="2976" t="n">
        <x:v>64</x:v>
      </x:c>
      <x:c r="H259" s="2977" t="n">
        <x:v>32</x:v>
      </x:c>
      <x:c r="I259" s="2977" t="n">
        <x:v>32</x:v>
      </x:c>
      <x:c r="J259" s="2977" t="n">
        <x:v>64</x:v>
      </x:c>
      <x:c r="K259" s="2978" t="n">
        <x:v>128</x:v>
      </x:c>
      <x:c r="L259" s="2976" t="n">
        <x:v>816147</x:v>
      </x:c>
      <x:c r="M259" s="2895" t="n">
        <x:f>IF(AND(ISNUMBER(L259),L259&gt;0),ROUND(B259*C259*D259/2048/L259*100,1)/100,"")</x:f>
        <x:v>0.642</x:v>
      </x:c>
      <x:c r="N259" s="2976" t="n">
        <x:f>IF(OR(B259="",C259="",D259="",E259="",F259="",G259=""),"",ROUNDUP(B259/MIN(E259,128),0)*(C259/F259)*(D259/G259)*((MIN(B259,MIN(E259,128))+F259)*G259*4/1024))</x:f>
        <x:v>65536</x:v>
      </x:c>
      <x:c r="O259" s="2896" t="n">
        <x:f>IF(AND(ISNUMBER(N259),ISNUMBER(K259),K259&gt;0),N259*1024/K259,"")</x:f>
        <x:v>524288</x:v>
      </x:c>
      <x:c r="P259" s="2897" t="n">
        <x:f>IF(OR(E259="",F259="",G259=""),"",((H259+I259)*1024)/(E259*F259*G259/2048))</x:f>
        <x:v>128</x:v>
      </x:c>
      <x:c r="Q259" s="2897" t="n">
        <x:f>IF(OR(E259="",F259="",G259=""),"",(E259*F259*4)/(E259*F259*G259/2048))</x:f>
        <x:v>128</x:v>
      </x:c>
      <x:c r="R259" s="2895" t="n">
        <x:f>IF(AND(ISNUMBER(K259),K259&gt;0,ISNUMBER(P259),P259&gt;0),MIN(1,K259/P259),"")</x:f>
        <x:v>1</x:v>
      </x:c>
      <x:c r="S259" s="2895" t="n">
        <x:f>IF(AND(ISNUMBER(K259),K259&gt;0,ISNUMBER(Q259),Q259&gt;0),MIN(1,K259/Q259),"")</x:f>
        <x:v>1</x:v>
      </x:c>
      <x:c r="T259" s="2895" t="n">
        <x:f>IF(AND(ISNUMBER(R259),ISNUMBER(S259)),MIN(R259,S259),"")</x:f>
        <x:v>1</x:v>
      </x:c>
      <x:c r="U259" s="2897" t="n">
        <x:f>IF(AND(ISNUMBER(M259),ISNUMBER(T259)),(M259-T259)*100,"")</x:f>
        <x:v>-35.8</x:v>
      </x:c>
      <x:c r="V259" s="2976" t="n">
        <x:v>529543</x:v>
      </x:c>
      <x:c r="W259" s="2895" t="n">
        <x:v>0.99</x:v>
      </x:c>
      <x:c r="X259" s="2895" t="n">
        <x:f>IF(AND(ISNUMBER(L259),ISNUMBER(V259),L259&gt;0,V259&gt;0),(L259-V259)/L259,"")</x:f>
        <x:v>0.35116713043116005</x:v>
      </x:c>
      <x:c r="Y259" s="2958" t="n">
        <x:f>IF(AND(ISNUMBER(L259),ISNUMBER(V259),L259&gt;0,V259&gt;0),L259/V259,"")</x:f>
        <x:v>1.5412289464689364</x:v>
      </x:c>
      <x:c r="Z259" s="2895" t="n">
        <x:f>IF(AND(ISNUMBER(C259),ISNUMBER(F259),C259&gt;0,F259&gt;0),1-F259/C259,"")</x:f>
        <x:v>0.5</x:v>
      </x:c>
      <x:c r="AA259" s="2935" t="inlineStr">
        <x:is>
          <x:t xml:space="preserve">PASS</x:t>
        </x:is>
      </x:c>
      <x:c r="AB259" s="2935" t="inlineStr">
        <x:is>
          <x:t xml:space="preserve">PASS</x:t>
        </x:is>
      </x:c>
      <x:c r="AC259" s="2905" t="inlineStr">
        <x:is>
          <x:t xml:space="preserve">本轮 model-main ae058a98 + 6参数(无SoC带宽/延迟) 2026-09-26</x:t>
        </x:is>
      </x:c>
    </x:row>
    <x:row r="260" ht="20" customHeight="1">
      <x:c r="A260" s="2943" t="inlineStr">
        <x:is>
          <x:t xml:space="preserve">FP32</x:t>
        </x:is>
      </x:c>
      <x:c r="B260" s="2970" t="n">
        <x:v>128</x:v>
      </x:c>
      <x:c r="C260" s="2970" t="n">
        <x:v>256</x:v>
      </x:c>
      <x:c r="D260" s="2970" t="n">
        <x:v>32768</x:v>
      </x:c>
      <x:c r="E260" s="2970" t="n">
        <x:v>128</x:v>
      </x:c>
      <x:c r="F260" s="2970" t="n">
        <x:v>128</x:v>
      </x:c>
      <x:c r="G260" s="2970" t="n">
        <x:v>128</x:v>
      </x:c>
      <x:c r="H260" s="2971" t="n">
        <x:v>64</x:v>
      </x:c>
      <x:c r="I260" s="2971" t="n">
        <x:v>64</x:v>
      </x:c>
      <x:c r="J260" s="2971" t="n">
        <x:v>128</x:v>
      </x:c>
      <x:c r="K260" s="2972" t="n">
        <x:v>128</x:v>
      </x:c>
      <x:c r="L260" s="2970" t="n">
        <x:v>866835</x:v>
      </x:c>
      <x:c r="M260" s="2947" t="n">
        <x:f>IF(AND(ISNUMBER(L260),L260&gt;0),ROUND(B260*C260*D260/2048/L260*100,1)/100,"")</x:f>
        <x:v>0.605</x:v>
      </x:c>
      <x:c r="N260" s="2970" t="n">
        <x:f>IF(OR(B260="",C260="",D260="",E260="",F260="",G260=""),"",ROUNDUP(B260/MIN(E260,128),0)*(C260/F260)*(D260/G260)*((MIN(B260,MIN(E260,128))+F260)*G260*4/1024))</x:f>
        <x:v>65536</x:v>
      </x:c>
      <x:c r="O260" s="2948" t="n">
        <x:f>IF(AND(ISNUMBER(N260),ISNUMBER(K260),K260&gt;0),N260*1024/K260,"")</x:f>
        <x:v>524288</x:v>
      </x:c>
      <x:c r="P260" s="2949" t="n">
        <x:f>IF(OR(E260="",F260="",G260=""),"",((H260+I260)*1024)/(E260*F260*G260/2048))</x:f>
        <x:v>128</x:v>
      </x:c>
      <x:c r="Q260" s="2949" t="n">
        <x:f>IF(OR(E260="",F260="",G260=""),"",(E260*F260*4)/(E260*F260*G260/2048))</x:f>
        <x:v>64</x:v>
      </x:c>
      <x:c r="R260" s="2947" t="n">
        <x:f>IF(AND(ISNUMBER(K260),K260&gt;0,ISNUMBER(P260),P260&gt;0),MIN(1,K260/P260),"")</x:f>
        <x:v>1</x:v>
      </x:c>
      <x:c r="S260" s="2947" t="n">
        <x:f>IF(AND(ISNUMBER(K260),K260&gt;0,ISNUMBER(Q260),Q260&gt;0),MIN(1,K260/Q260),"")</x:f>
        <x:v>1</x:v>
      </x:c>
      <x:c r="T260" s="2947" t="n">
        <x:f>IF(AND(ISNUMBER(R260),ISNUMBER(S260)),MIN(R260,S260),"")</x:f>
        <x:v>1</x:v>
      </x:c>
      <x:c r="U260" s="2949" t="n">
        <x:f>IF(AND(ISNUMBER(M260),ISNUMBER(T260)),(M260-T260)*100,"")</x:f>
        <x:v>-39.5</x:v>
      </x:c>
      <x:c r="V260" s="2970" t="n">
        <x:v>528338</x:v>
      </x:c>
      <x:c r="W260" s="2947" t="n">
        <x:v>0.992</x:v>
      </x:c>
      <x:c r="X260" s="2947" t="n">
        <x:f>IF(AND(ISNUMBER(L260),ISNUMBER(V260),L260&gt;0,V260&gt;0),(L260-V260)/L260,"")</x:f>
        <x:v>0.3904976148863394</x:v>
      </x:c>
      <x:c r="Y260" s="2956" t="n">
        <x:f>IF(AND(ISNUMBER(L260),ISNUMBER(V260),L260&gt;0,V260&gt;0),L260/V260,"")</x:f>
        <x:v>1.64068266904898</x:v>
      </x:c>
      <x:c r="Z260" s="2947" t="n">
        <x:f>IF(AND(ISNUMBER(C260),ISNUMBER(F260),C260&gt;0,F260&gt;0),1-F260/C260,"")</x:f>
        <x:v>0.5</x:v>
      </x:c>
      <x:c r="AA260" s="2951" t="inlineStr">
        <x:is>
          <x:t xml:space="preserve">PASS</x:t>
        </x:is>
      </x:c>
      <x:c r="AB260" s="2951" t="inlineStr">
        <x:is>
          <x:t xml:space="preserve">PASS</x:t>
        </x:is>
      </x:c>
      <x:c r="AC260" s="2952" t="inlineStr">
        <x:is>
          <x:t xml:space="preserve">本轮 model-main ae058a98 + 6参数(无SoC带宽/延迟) 2026-09-26</x:t>
        </x:is>
      </x:c>
    </x:row>
    <x:row r="261" ht="20" customHeight="1">
      <x:c r="A261" s="2891" t="inlineStr">
        <x:is>
          <x:t xml:space="preserve">FP32</x:t>
        </x:is>
      </x:c>
      <x:c r="B261" s="2976" t="n">
        <x:v>128</x:v>
      </x:c>
      <x:c r="C261" s="2976" t="n">
        <x:v>256</x:v>
      </x:c>
      <x:c r="D261" s="2976" t="n">
        <x:v>32768</x:v>
      </x:c>
      <x:c r="E261" s="2976" t="n">
        <x:v>128</x:v>
      </x:c>
      <x:c r="F261" s="2976" t="n">
        <x:v>128</x:v>
      </x:c>
      <x:c r="G261" s="2976" t="n">
        <x:v>256</x:v>
      </x:c>
      <x:c r="H261" s="2977" t="n">
        <x:v>128</x:v>
      </x:c>
      <x:c r="I261" s="2977" t="n">
        <x:v>128</x:v>
      </x:c>
      <x:c r="J261" s="2977" t="n">
        <x:v>256</x:v>
      </x:c>
      <x:c r="K261" s="2978" t="n">
        <x:v>128</x:v>
      </x:c>
      <x:c r="L261" s="2976" t="n">
        <x:v>1693656</x:v>
      </x:c>
      <x:c r="M261" s="2895" t="n">
        <x:f>IF(AND(ISNUMBER(L261),L261&gt;0),ROUND(B261*C261*D261/2048/L261*100,1)/100,"")</x:f>
        <x:v>0.31</x:v>
      </x:c>
      <x:c r="N261" s="2976" t="n">
        <x:f>IF(OR(B261="",C261="",D261="",E261="",F261="",G261=""),"",ROUNDUP(B261/MIN(E261,128),0)*(C261/F261)*(D261/G261)*((MIN(B261,MIN(E261,128))+F261)*G261*4/1024))</x:f>
        <x:v>65536</x:v>
      </x:c>
      <x:c r="O261" s="2896" t="n">
        <x:f>IF(AND(ISNUMBER(N261),ISNUMBER(K261),K261&gt;0),N261*1024/K261,"")</x:f>
        <x:v>524288</x:v>
      </x:c>
      <x:c r="P261" s="2897" t="n">
        <x:f>IF(OR(E261="",F261="",G261=""),"",((H261+I261)*1024)/(E261*F261*G261/2048))</x:f>
        <x:v>128</x:v>
      </x:c>
      <x:c r="Q261" s="2897" t="n">
        <x:f>IF(OR(E261="",F261="",G261=""),"",(E261*F261*4)/(E261*F261*G261/2048))</x:f>
        <x:v>32</x:v>
      </x:c>
      <x:c r="R261" s="2895" t="n">
        <x:f>IF(AND(ISNUMBER(K261),K261&gt;0,ISNUMBER(P261),P261&gt;0),MIN(1,K261/P261),"")</x:f>
        <x:v>1</x:v>
      </x:c>
      <x:c r="S261" s="2895" t="n">
        <x:f>IF(AND(ISNUMBER(K261),K261&gt;0,ISNUMBER(Q261),Q261&gt;0),MIN(1,K261/Q261),"")</x:f>
        <x:v>1</x:v>
      </x:c>
      <x:c r="T261" s="2895" t="n">
        <x:f>IF(AND(ISNUMBER(R261),ISNUMBER(S261)),MIN(R261,S261),"")</x:f>
        <x:v>1</x:v>
      </x:c>
      <x:c r="U261" s="2897" t="n">
        <x:f>IF(AND(ISNUMBER(M261),ISNUMBER(T261)),(M261-T261)*100,"")</x:f>
        <x:v>-69</x:v>
      </x:c>
      <x:c r="V261" s="2976" t="n">
        <x:v>1492014</x:v>
      </x:c>
      <x:c r="W261" s="2895" t="n">
        <x:v>0.351</x:v>
      </x:c>
      <x:c r="X261" s="2895" t="n">
        <x:f>IF(AND(ISNUMBER(L261),ISNUMBER(V261),L261&gt;0,V261&gt;0),(L261-V261)/L261,"")</x:f>
        <x:v>0.11905723476313962</x:v>
      </x:c>
      <x:c r="Y261" s="2958" t="n">
        <x:f>IF(AND(ISNUMBER(L261),ISNUMBER(V261),L261&gt;0,V261&gt;0),L261/V261,"")</x:f>
        <x:v>1.1351475254253647</x:v>
      </x:c>
      <x:c r="Z261" s="2895" t="n">
        <x:f>IF(AND(ISNUMBER(C261),ISNUMBER(F261),C261&gt;0,F261&gt;0),1-F261/C261,"")</x:f>
        <x:v>0.5</x:v>
      </x:c>
      <x:c r="AA261" s="2935" t="inlineStr">
        <x:is>
          <x:t xml:space="preserve">PASS</x:t>
        </x:is>
      </x:c>
      <x:c r="AB261" s="2935" t="inlineStr">
        <x:is>
          <x:t xml:space="preserve">PASS</x:t>
        </x:is>
      </x:c>
      <x:c r="AC261" s="2905" t="inlineStr">
        <x:is>
          <x:t xml:space="preserve">本轮 model-main ae058a98 + 6参数(无SoC带宽/延迟) 2026-09-26</x:t>
        </x:is>
      </x:c>
    </x:row>
    <x:row r="262" ht="20" customHeight="1">
      <x:c r="A262" s="2891" t="inlineStr">
        <x:is>
          <x:t xml:space="preserve">FP32</x:t>
        </x:is>
      </x:c>
      <x:c r="B262" s="2976" t="n">
        <x:v>128</x:v>
      </x:c>
      <x:c r="C262" s="2976" t="n">
        <x:v>256</x:v>
      </x:c>
      <x:c r="D262" s="2976" t="n">
        <x:v>32768</x:v>
      </x:c>
      <x:c r="E262" s="2976" t="n">
        <x:v>128</x:v>
      </x:c>
      <x:c r="F262" s="2976" t="n">
        <x:v>256</x:v>
      </x:c>
      <x:c r="G262" s="2976" t="n">
        <x:v>64</x:v>
      </x:c>
      <x:c r="H262" s="2977" t="n">
        <x:v>32</x:v>
      </x:c>
      <x:c r="I262" s="2977" t="n">
        <x:v>64</x:v>
      </x:c>
      <x:c r="J262" s="2977" t="n">
        <x:v>96</x:v>
      </x:c>
      <x:c r="K262" s="2978" t="n">
        <x:v>128</x:v>
      </x:c>
      <x:c r="L262" s="2976" t="n">
        <x:v>621051</x:v>
      </x:c>
      <x:c r="M262" s="2895" t="n">
        <x:f>IF(AND(ISNUMBER(L262),L262&gt;0),ROUND(B262*C262*D262/2048/L262*100,1)/100,"")</x:f>
        <x:v>0.8440000000000001</x:v>
      </x:c>
      <x:c r="N262" s="2976" t="n">
        <x:f>IF(OR(B262="",C262="",D262="",E262="",F262="",G262=""),"",ROUNDUP(B262/MIN(E262,128),0)*(C262/F262)*(D262/G262)*((MIN(B262,MIN(E262,128))+F262)*G262*4/1024))</x:f>
        <x:v>49152</x:v>
      </x:c>
      <x:c r="O262" s="2896" t="n">
        <x:f>IF(AND(ISNUMBER(N262),ISNUMBER(K262),K262&gt;0),N262*1024/K262,"")</x:f>
        <x:v>393216</x:v>
      </x:c>
      <x:c r="P262" s="2897" t="n">
        <x:f>IF(OR(E262="",F262="",G262=""),"",((H262+I262)*1024)/(E262*F262*G262/2048))</x:f>
        <x:v>96</x:v>
      </x:c>
      <x:c r="Q262" s="2897" t="n">
        <x:f>IF(OR(E262="",F262="",G262=""),"",(E262*F262*4)/(E262*F262*G262/2048))</x:f>
        <x:v>128</x:v>
      </x:c>
      <x:c r="R262" s="2895" t="n">
        <x:f>IF(AND(ISNUMBER(K262),K262&gt;0,ISNUMBER(P262),P262&gt;0),MIN(1,K262/P262),"")</x:f>
        <x:v>1</x:v>
      </x:c>
      <x:c r="S262" s="2895" t="n">
        <x:f>IF(AND(ISNUMBER(K262),K262&gt;0,ISNUMBER(Q262),Q262&gt;0),MIN(1,K262/Q262),"")</x:f>
        <x:v>1</x:v>
      </x:c>
      <x:c r="T262" s="2895" t="n">
        <x:f>IF(AND(ISNUMBER(R262),ISNUMBER(S262)),MIN(R262,S262),"")</x:f>
        <x:v>1</x:v>
      </x:c>
      <x:c r="U262" s="2897" t="n">
        <x:f>IF(AND(ISNUMBER(M262),ISNUMBER(T262)),(M262-T262)*100,"")</x:f>
        <x:v>-15.59999999999999</x:v>
      </x:c>
      <x:c r="V262" s="2976" t="n">
        <x:v>571089</x:v>
      </x:c>
      <x:c r="W262" s="2895" t="n">
        <x:v>0.918</x:v>
      </x:c>
      <x:c r="X262" s="2895" t="n">
        <x:f>IF(AND(ISNUMBER(L262),ISNUMBER(V262),L262&gt;0,V262&gt;0),(L262-V262)/L262,"")</x:f>
        <x:v>0.08044749948071897</x:v>
      </x:c>
      <x:c r="Y262" s="2958" t="n">
        <x:f>IF(AND(ISNUMBER(L262),ISNUMBER(V262),L262&gt;0,V262&gt;0),L262/V262,"")</x:f>
        <x:v>1.0874854882513934</x:v>
      </x:c>
      <x:c r="Z262" s="2895" t="n">
        <x:f>IF(AND(ISNUMBER(C262),ISNUMBER(F262),C262&gt;0,F262&gt;0),1-F262/C262,"")</x:f>
        <x:v>0</x:v>
      </x:c>
      <x:c r="AA262" s="2935" t="inlineStr">
        <x:is>
          <x:t xml:space="preserve">PASS</x:t>
        </x:is>
      </x:c>
      <x:c r="AB262" s="2935" t="inlineStr">
        <x:is>
          <x:t xml:space="preserve">PASS</x:t>
        </x:is>
      </x:c>
      <x:c r="AC262" s="2905" t="inlineStr">
        <x:is>
          <x:t xml:space="preserve">本轮 model-main ae058a98 + 6参数(无SoC带宽/延迟) 2026-09-26</x:t>
        </x:is>
      </x:c>
    </x:row>
    <x:row r="263" ht="20" customHeight="1">
      <x:c r="A263" s="2891" t="inlineStr">
        <x:is>
          <x:t xml:space="preserve">FP32</x:t>
        </x:is>
      </x:c>
      <x:c r="B263" s="2976" t="n">
        <x:v>128</x:v>
      </x:c>
      <x:c r="C263" s="2976" t="n">
        <x:v>256</x:v>
      </x:c>
      <x:c r="D263" s="2976" t="n">
        <x:v>32768</x:v>
      </x:c>
      <x:c r="E263" s="2976" t="n">
        <x:v>128</x:v>
      </x:c>
      <x:c r="F263" s="2976" t="n">
        <x:v>256</x:v>
      </x:c>
      <x:c r="G263" s="2976" t="n">
        <x:v>128</x:v>
      </x:c>
      <x:c r="H263" s="2977" t="n">
        <x:v>64</x:v>
      </x:c>
      <x:c r="I263" s="2977" t="n">
        <x:v>128</x:v>
      </x:c>
      <x:c r="J263" s="2977" t="n">
        <x:v>192</x:v>
      </x:c>
      <x:c r="K263" s="2978" t="n">
        <x:v>128</x:v>
      </x:c>
      <x:c r="L263" s="2976" t="n">
        <x:v>1123668</x:v>
      </x:c>
      <x:c r="M263" s="2895" t="n">
        <x:f>IF(AND(ISNUMBER(L263),L263&gt;0),ROUND(B263*C263*D263/2048/L263*100,1)/100,"")</x:f>
        <x:v>0.467</x:v>
      </x:c>
      <x:c r="N263" s="2976" t="n">
        <x:f>IF(OR(B263="",C263="",D263="",E263="",F263="",G263=""),"",ROUNDUP(B263/MIN(E263,128),0)*(C263/F263)*(D263/G263)*((MIN(B263,MIN(E263,128))+F263)*G263*4/1024))</x:f>
        <x:v>49152</x:v>
      </x:c>
      <x:c r="O263" s="2896" t="n">
        <x:f>IF(AND(ISNUMBER(N263),ISNUMBER(K263),K263&gt;0),N263*1024/K263,"")</x:f>
        <x:v>393216</x:v>
      </x:c>
      <x:c r="P263" s="2897" t="n">
        <x:f>IF(OR(E263="",F263="",G263=""),"",((H263+I263)*1024)/(E263*F263*G263/2048))</x:f>
        <x:v>96</x:v>
      </x:c>
      <x:c r="Q263" s="2897" t="n">
        <x:f>IF(OR(E263="",F263="",G263=""),"",(E263*F263*4)/(E263*F263*G263/2048))</x:f>
        <x:v>64</x:v>
      </x:c>
      <x:c r="R263" s="2895" t="n">
        <x:f>IF(AND(ISNUMBER(K263),K263&gt;0,ISNUMBER(P263),P263&gt;0),MIN(1,K263/P263),"")</x:f>
        <x:v>1</x:v>
      </x:c>
      <x:c r="S263" s="2895" t="n">
        <x:f>IF(AND(ISNUMBER(K263),K263&gt;0,ISNUMBER(Q263),Q263&gt;0),MIN(1,K263/Q263),"")</x:f>
        <x:v>1</x:v>
      </x:c>
      <x:c r="T263" s="2895" t="n">
        <x:f>IF(AND(ISNUMBER(R263),ISNUMBER(S263)),MIN(R263,S263),"")</x:f>
        <x:v>1</x:v>
      </x:c>
      <x:c r="U263" s="2897" t="n">
        <x:f>IF(AND(ISNUMBER(M263),ISNUMBER(T263)),(M263-T263)*100,"")</x:f>
        <x:v>-53.29999999999999</x:v>
      </x:c>
      <x:c r="V263" s="2976" t="n">
        <x:v>549842</x:v>
      </x:c>
      <x:c r="W263" s="2895" t="n">
        <x:v>0.954</x:v>
      </x:c>
      <x:c r="X263" s="2895" t="n">
        <x:f>IF(AND(ISNUMBER(L263),ISNUMBER(V263),L263&gt;0,V263&gt;0),(L263-V263)/L263,"")</x:f>
        <x:v>0.5106721914302089</x:v>
      </x:c>
      <x:c r="Y263" s="2958" t="n">
        <x:f>IF(AND(ISNUMBER(L263),ISNUMBER(V263),L263&gt;0,V263&gt;0),L263/V263,"")</x:f>
        <x:v>2.0436198035071893</x:v>
      </x:c>
      <x:c r="Z263" s="2895" t="n">
        <x:f>IF(AND(ISNUMBER(C263),ISNUMBER(F263),C263&gt;0,F263&gt;0),1-F263/C263,"")</x:f>
        <x:v>0</x:v>
      </x:c>
      <x:c r="AA263" s="2935" t="inlineStr">
        <x:is>
          <x:t xml:space="preserve">PASS</x:t>
        </x:is>
      </x:c>
      <x:c r="AB263" s="2935" t="inlineStr">
        <x:is>
          <x:t xml:space="preserve">PASS</x:t>
        </x:is>
      </x:c>
      <x:c r="AC263" s="2905" t="inlineStr">
        <x:is>
          <x:t xml:space="preserve">本轮 model-main ae058a98 + 6参数(无SoC带宽/延迟) 2026-09-26</x:t>
        </x:is>
      </x:c>
    </x:row>
    <x:row r="264" ht="20" customHeight="1">
      <x:c r="A264" s="2891" t="inlineStr">
        <x:is>
          <x:t xml:space="preserve">FP32</x:t>
        </x:is>
      </x:c>
      <x:c r="B264" s="2976" t="n">
        <x:v>128</x:v>
      </x:c>
      <x:c r="C264" s="2976" t="n">
        <x:v>256</x:v>
      </x:c>
      <x:c r="D264" s="2976" t="n">
        <x:v>32768</x:v>
      </x:c>
      <x:c r="E264" s="2976" t="n">
        <x:v>128</x:v>
      </x:c>
      <x:c r="F264" s="2976" t="n">
        <x:v>256</x:v>
      </x:c>
      <x:c r="G264" s="2976" t="n">
        <x:v>256</x:v>
      </x:c>
      <x:c r="H264" s="2977" t="n">
        <x:v>128</x:v>
      </x:c>
      <x:c r="I264" s="2977" t="n">
        <x:v>256</x:v>
      </x:c>
      <x:c r="J264" s="2977" t="n">
        <x:v>384</x:v>
      </x:c>
      <x:c r="K264" s="2978" t="n">
        <x:v>128</x:v>
      </x:c>
      <x:c r="L264" s="2976" t="inlineStr">
        <x:is>
          <x:t xml:space="preserve">—</x:t>
        </x:is>
      </x:c>
      <x:c r="M264" s="2895" t="str">
        <x:f>IF(AND(ISNUMBER(L264),L264&gt;0),ROUND(B264*C264*D264/2048/L264*100,1)/100,"")</x:f>
      </x:c>
      <x:c r="N264" s="2976" t="n">
        <x:f>IF(OR(B264="",C264="",D264="",E264="",F264="",G264=""),"",ROUNDUP(B264/MIN(E264,128),0)*(C264/F264)*(D264/G264)*((MIN(B264,MIN(E264,128))+F264)*G264*4/1024))</x:f>
        <x:v>49152</x:v>
      </x:c>
      <x:c r="O264" s="2896" t="n">
        <x:f>IF(AND(ISNUMBER(N264),ISNUMBER(K264),K264&gt;0),N264*1024/K264,"")</x:f>
        <x:v>393216</x:v>
      </x:c>
      <x:c r="P264" s="2897" t="n">
        <x:f>IF(OR(E264="",F264="",G264=""),"",((H264+I264)*1024)/(E264*F264*G264/2048))</x:f>
        <x:v>96</x:v>
      </x:c>
      <x:c r="Q264" s="2897" t="n">
        <x:f>IF(OR(E264="",F264="",G264=""),"",(E264*F264*4)/(E264*F264*G264/2048))</x:f>
        <x:v>32</x:v>
      </x:c>
      <x:c r="R264" s="2895" t="n">
        <x:f>IF(AND(ISNUMBER(K264),K264&gt;0,ISNUMBER(P264),P264&gt;0),MIN(1,K264/P264),"")</x:f>
        <x:v>1</x:v>
      </x:c>
      <x:c r="S264" s="2895" t="n">
        <x:f>IF(AND(ISNUMBER(K264),K264&gt;0,ISNUMBER(Q264),Q264&gt;0),MIN(1,K264/Q264),"")</x:f>
        <x:v>1</x:v>
      </x:c>
      <x:c r="T264" s="2895" t="n">
        <x:f>IF(AND(ISNUMBER(R264),ISNUMBER(S264)),MIN(R264,S264),"")</x:f>
        <x:v>1</x:v>
      </x:c>
      <x:c r="U264" s="2897" t="str">
        <x:f>IF(AND(ISNUMBER(M264),ISNUMBER(T264)),(M264-T264)*100,"")</x:f>
      </x:c>
      <x:c r="V264" s="2976" t="inlineStr">
        <x:is>
          <x:t xml:space="preserve">—</x:t>
        </x:is>
      </x:c>
      <x:c r="W264" s="2895" t="n"/>
      <x:c r="X264" s="2895" t="n"/>
      <x:c r="Y264" s="2958" t="n"/>
      <x:c r="Z264" s="2895" t="n"/>
      <x:c r="AA264" s="2936" t="inlineStr">
        <x:is>
          <x:t xml:space="preserve">DEADLOCK</x:t>
        </x:is>
      </x:c>
      <x:c r="AB264" s="2936" t="inlineStr">
        <x:is>
          <x:t xml:space="preserve">COMPILE_FAIL</x:t>
        </x:is>
      </x:c>
      <x:c r="AC264" s="2905" t="inlineStr">
        <x:is>
          <x:t xml:space="preserve">容量超限：完整 SharedTile 足迹 &gt; 256 KiB；本轮 model-main 9b3a4405 + 8参数(256KB ShareTReg) 2026-09-22</x:t>
        </x:is>
      </x:c>
    </x:row>
    <x:row r="265" ht="20" customHeight="1">
      <x:c r="A265" s="2822" t="inlineStr">
        <x:is>
          <x:t xml:space="preserve">BF16</x:t>
        </x:is>
      </x:c>
      <x:c r="B265" s="2964" t="n"/>
      <x:c r="C265" s="2964" t="n"/>
      <x:c r="D265" s="2964" t="n"/>
      <x:c r="E265" s="2964" t="n"/>
      <x:c r="F265" s="2964" t="n"/>
      <x:c r="G265" s="2964" t="n"/>
      <x:c r="H265" s="2965" t="n"/>
      <x:c r="I265" s="2965" t="n"/>
      <x:c r="J265" s="2965" t="n"/>
      <x:c r="K265" s="2966"/>
      <x:c r="L265" s="2964" t="n"/>
      <x:c r="M265" s="2826" t="str"/>
      <x:c r="N265" s="2964" t="str"/>
      <x:c r="O265" s="2827" t="str"/>
      <x:c r="P265" s="2828" t="str"/>
      <x:c r="Q265" s="2828" t="str"/>
      <x:c r="R265" s="2826" t="str"/>
      <x:c r="S265" s="2826" t="str"/>
      <x:c r="T265" s="2826" t="str"/>
      <x:c r="U265" s="2828" t="str"/>
      <x:c r="V265" s="2964" t="n"/>
      <x:c r="W265" s="2826" t="n"/>
      <x:c r="X265" s="2826" t="n"/>
      <x:c r="Y265" s="2954" t="n"/>
      <x:c r="Z265" s="2826" t="n"/>
      <x:c r="AA265" s="2822" t="n"/>
      <x:c r="AB265" s="2822" t="n"/>
      <x:c r="AC265" s="2822" t="n"/>
    </x:row>
    <x:row r="266" ht="20" customHeight="1">
      <x:c r="A266" s="2916" t="inlineStr">
        <x:is>
          <x:t xml:space="preserve">BF16</x:t>
        </x:is>
      </x:c>
      <x:c r="B266" s="2979" t="n">
        <x:v>128</x:v>
      </x:c>
      <x:c r="C266" s="2979" t="n">
        <x:v>256</x:v>
      </x:c>
      <x:c r="D266" s="2979" t="n">
        <x:v>32768</x:v>
      </x:c>
      <x:c r="E266" s="2979" t="n">
        <x:v>128</x:v>
      </x:c>
      <x:c r="F266" s="2979" t="n">
        <x:v>64</x:v>
      </x:c>
      <x:c r="G266" s="2979" t="n">
        <x:v>64</x:v>
      </x:c>
      <x:c r="H266" s="2980" t="n">
        <x:v>16</x:v>
      </x:c>
      <x:c r="I266" s="2980" t="n">
        <x:v>8</x:v>
      </x:c>
      <x:c r="J266" s="2980" t="n">
        <x:v>24</x:v>
      </x:c>
      <x:c r="K266" s="2981" t="n">
        <x:v>128</x:v>
      </x:c>
      <x:c r="L266" s="2979" t="n">
        <x:v>612564</x:v>
      </x:c>
      <x:c r="M266" s="2920" t="n">
        <x:f>IF(AND(ISNUMBER(L266),L266&gt;0),ROUND(B266*C266*D266/4096/L266*100,1)/100,"")</x:f>
        <x:v>0.428</x:v>
      </x:c>
      <x:c r="N266" s="2979" t="n">
        <x:f>IF(OR(B266="",C266="",D266="",E266="",F266="",G266=""),"",ROUNDUP(B266/MIN(E266,128),0)*(C266/F266)*(D266/G266)*((MIN(B266,MIN(E266,128))+F266)*G266*2/1024))</x:f>
        <x:v>49152</x:v>
      </x:c>
      <x:c r="O266" s="2921" t="n">
        <x:f>IF(AND(ISNUMBER(N266),ISNUMBER(K266),K266&gt;0),N266*1024/K266,"")</x:f>
        <x:v>393216</x:v>
      </x:c>
      <x:c r="P266" s="2922" t="n">
        <x:f>IF(OR(E266="",F266="",G266=""),"",((H266+I266)*1024)/(E266*F266*G266/4096))</x:f>
        <x:v>192</x:v>
      </x:c>
      <x:c r="Q266" s="2922" t="n">
        <x:f>IF(OR(E266="",F266="",G266=""),"",(E266*F266*4)/(E266*F266*G266/4096))</x:f>
        <x:v>256</x:v>
      </x:c>
      <x:c r="R266" s="2920" t="n">
        <x:f>IF(AND(ISNUMBER(K266),K266&gt;0,ISNUMBER(P266),P266&gt;0),MIN(1,K266/P266),"")</x:f>
        <x:v>0.6666666666666666</x:v>
      </x:c>
      <x:c r="S266" s="2920" t="n">
        <x:f>IF(AND(ISNUMBER(K266),K266&gt;0,ISNUMBER(Q266),Q266&gt;0),MIN(1,K266/Q266),"")</x:f>
        <x:v>0.5</x:v>
      </x:c>
      <x:c r="T266" s="2920" t="n">
        <x:f>IF(AND(ISNUMBER(R266),ISNUMBER(S266)),MIN(R266,S266),"")</x:f>
        <x:v>0.5</x:v>
      </x:c>
      <x:c r="U266" s="2922" t="n">
        <x:f>IF(AND(ISNUMBER(M266),ISNUMBER(T266)),(M266-T266)*100,"")</x:f>
        <x:v>-7.200000000000001</x:v>
      </x:c>
      <x:c r="V266" s="2979" t="n">
        <x:v>305607</x:v>
      </x:c>
      <x:c r="W266" s="2920" t="n">
        <x:v>1.716</x:v>
      </x:c>
      <x:c r="X266" s="2920" t="n">
        <x:f>IF(AND(ISNUMBER(L266),ISNUMBER(V266),L266&gt;0,V266&gt;0),(L266-V266)/L266,"")</x:f>
        <x:v>0.5011019256763375</x:v>
      </x:c>
      <x:c r="Y266" s="2959" t="n">
        <x:f>IF(AND(ISNUMBER(L266),ISNUMBER(V266),L266&gt;0,V266&gt;0),L266/V266,"")</x:f>
        <x:v>2.004417438082243</x:v>
      </x:c>
      <x:c r="Z266" s="2920" t="n">
        <x:f>IF(AND(ISNUMBER(C266),ISNUMBER(F266),C266&gt;0,F266&gt;0),1-F266/C266,"")</x:f>
        <x:v>0.75</x:v>
      </x:c>
      <x:c r="AA266" s="2938" t="inlineStr">
        <x:is>
          <x:t xml:space="preserve">PASS</x:t>
        </x:is>
      </x:c>
      <x:c r="AB266" s="2938" t="inlineStr">
        <x:is>
          <x:t xml:space="preserve">PASS</x:t>
        </x:is>
      </x:c>
      <x:c r="AC266" s="2930" t="inlineStr">
        <x:is>
          <x:t xml:space="preserve">本轮 model-main ae058a98 + 6参数(无SoC带宽/延迟) 2026-09-26</x:t>
        </x:is>
      </x:c>
    </x:row>
    <x:row r="267" ht="20" customHeight="1">
      <x:c r="A267" s="2982" t="inlineStr">
        <x:is>
          <x:t xml:space="preserve">BF16</x:t>
        </x:is>
      </x:c>
      <x:c r="B267" s="2983" t="n">
        <x:v>128</x:v>
      </x:c>
      <x:c r="C267" s="2983" t="n">
        <x:v>256</x:v>
      </x:c>
      <x:c r="D267" s="2983" t="n">
        <x:v>32768</x:v>
      </x:c>
      <x:c r="E267" s="2983" t="n">
        <x:v>128</x:v>
      </x:c>
      <x:c r="F267" s="2983" t="n">
        <x:v>64</x:v>
      </x:c>
      <x:c r="G267" s="2983" t="n">
        <x:v>128</x:v>
      </x:c>
      <x:c r="H267" s="2984" t="n">
        <x:v>32</x:v>
      </x:c>
      <x:c r="I267" s="2984" t="n">
        <x:v>16</x:v>
      </x:c>
      <x:c r="J267" s="2984" t="n">
        <x:v>48</x:v>
      </x:c>
      <x:c r="K267" s="2985" t="n">
        <x:v>128</x:v>
      </x:c>
      <x:c r="L267" s="2983" t="n">
        <x:v>613135</x:v>
      </x:c>
      <x:c r="M267" s="2986" t="n">
        <x:f>IF(AND(ISNUMBER(L267),L267&gt;0),ROUND(B267*C267*D267/4096/L267*100,1)/100,"")</x:f>
        <x:v>0.428</x:v>
      </x:c>
      <x:c r="N267" s="2983" t="n">
        <x:f>IF(OR(B267="",C267="",D267="",E267="",F267="",G267=""),"",ROUNDUP(B267/MIN(E267,128),0)*(C267/F267)*(D267/G267)*((MIN(B267,MIN(E267,128))+F267)*G267*2/1024))</x:f>
        <x:v>49152</x:v>
      </x:c>
      <x:c r="O267" s="2987" t="n">
        <x:f>IF(AND(ISNUMBER(N267),ISNUMBER(K267),K267&gt;0),N267*1024/K267,"")</x:f>
        <x:v>393216</x:v>
      </x:c>
      <x:c r="P267" s="2988" t="n">
        <x:f>IF(OR(E267="",F267="",G267=""),"",((H267+I267)*1024)/(E267*F267*G267/4096))</x:f>
        <x:v>192</x:v>
      </x:c>
      <x:c r="Q267" s="2988" t="n">
        <x:f>IF(OR(E267="",F267="",G267=""),"",(E267*F267*4)/(E267*F267*G267/4096))</x:f>
        <x:v>128</x:v>
      </x:c>
      <x:c r="R267" s="2986" t="n">
        <x:f>IF(AND(ISNUMBER(K267),K267&gt;0,ISNUMBER(P267),P267&gt;0),MIN(1,K267/P267),"")</x:f>
        <x:v>0.6666666666666666</x:v>
      </x:c>
      <x:c r="S267" s="2986" t="n">
        <x:f>IF(AND(ISNUMBER(K267),K267&gt;0,ISNUMBER(Q267),Q267&gt;0),MIN(1,K267/Q267),"")</x:f>
        <x:v>1</x:v>
      </x:c>
      <x:c r="T267" s="2986" t="n">
        <x:f>IF(AND(ISNUMBER(R267),ISNUMBER(S267)),MIN(R267,S267),"")</x:f>
        <x:v>0.6666666666666666</x:v>
      </x:c>
      <x:c r="U267" s="2988" t="n">
        <x:f>IF(AND(ISNUMBER(M267),ISNUMBER(T267)),(M267-T267)*100,"")</x:f>
        <x:v>-23.866666666666664</x:v>
      </x:c>
      <x:c r="V267" s="2983" t="n">
        <x:v>266991</x:v>
      </x:c>
      <x:c r="W267" s="2986" t="n">
        <x:v>1.964</x:v>
      </x:c>
      <x:c r="X267" s="2986" t="n">
        <x:f>IF(AND(ISNUMBER(L267),ISNUMBER(V267),L267&gt;0,V267&gt;0),(L267-V267)/L267,"")</x:f>
        <x:v>0.5645477749598375</x:v>
      </x:c>
      <x:c r="Y267" s="2989" t="n">
        <x:f>IF(AND(ISNUMBER(L267),ISNUMBER(V267),L267&gt;0,V267&gt;0),L267/V267,"")</x:f>
        <x:v>2.2964631766613857</x:v>
      </x:c>
      <x:c r="Z267" s="2986" t="n">
        <x:f>IF(AND(ISNUMBER(C267),ISNUMBER(F267),C267&gt;0,F267&gt;0),1-F267/C267,"")</x:f>
        <x:v>0.75</x:v>
      </x:c>
      <x:c r="AA267" s="2990" t="inlineStr">
        <x:is>
          <x:t xml:space="preserve">PASS</x:t>
        </x:is>
      </x:c>
      <x:c r="AB267" s="2990" t="inlineStr">
        <x:is>
          <x:t xml:space="preserve">PASS</x:t>
        </x:is>
      </x:c>
      <x:c r="AC267" s="2991" t="inlineStr">
        <x:is>
          <x:t xml:space="preserve">本轮 model-main ae058a98 + 6参数(无SoC带宽/延迟) 2026-09-26</x:t>
        </x:is>
      </x:c>
    </x:row>
    <x:row r="268" ht="20" customHeight="1">
      <x:c r="A268" s="3002" t="inlineStr">
        <x:is>
          <x:t xml:space="preserve">BF16</x:t>
        </x:is>
      </x:c>
      <x:c r="B268" s="3003" t="n">
        <x:v>128</x:v>
      </x:c>
      <x:c r="C268" s="3003" t="n">
        <x:v>256</x:v>
      </x:c>
      <x:c r="D268" s="3003" t="n">
        <x:v>32768</x:v>
      </x:c>
      <x:c r="E268" s="3003" t="n">
        <x:v>128</x:v>
      </x:c>
      <x:c r="F268" s="3003" t="n">
        <x:v>64</x:v>
      </x:c>
      <x:c r="G268" s="3003" t="n">
        <x:v>256</x:v>
      </x:c>
      <x:c r="H268" s="3004" t="n">
        <x:v>64</x:v>
      </x:c>
      <x:c r="I268" s="3004" t="n">
        <x:v>32</x:v>
      </x:c>
      <x:c r="J268" s="3004" t="n">
        <x:v>96</x:v>
      </x:c>
      <x:c r="K268" s="3005" t="n">
        <x:v>128</x:v>
      </x:c>
      <x:c r="L268" s="3003" t="n">
        <x:v>612824</x:v>
      </x:c>
      <x:c r="M268" s="3006" t="n">
        <x:f>IF(AND(ISNUMBER(L268),L268&gt;0),ROUND(B268*C268*D268/4096/L268*100,1)/100,"")</x:f>
        <x:v>0.428</x:v>
      </x:c>
      <x:c r="N268" s="3003" t="n">
        <x:f>IF(OR(B268="",C268="",D268="",E268="",F268="",G268=""),"",ROUNDUP(B268/MIN(E268,128),0)*(C268/F268)*(D268/G268)*((MIN(B268,MIN(E268,128))+F268)*G268*2/1024))</x:f>
        <x:v>49152</x:v>
      </x:c>
      <x:c r="O268" s="3007" t="n">
        <x:f>IF(AND(ISNUMBER(N268),ISNUMBER(K268),K268&gt;0),N268*1024/K268,"")</x:f>
        <x:v>393216</x:v>
      </x:c>
      <x:c r="P268" s="3008" t="n">
        <x:f>IF(OR(E268="",F268="",G268=""),"",((H268+I268)*1024)/(E268*F268*G268/4096))</x:f>
        <x:v>192</x:v>
      </x:c>
      <x:c r="Q268" s="3008" t="n">
        <x:f>IF(OR(E268="",F268="",G268=""),"",(E268*F268*4)/(E268*F268*G268/4096))</x:f>
        <x:v>64</x:v>
      </x:c>
      <x:c r="R268" s="3006" t="n">
        <x:f>IF(AND(ISNUMBER(K268),K268&gt;0,ISNUMBER(P268),P268&gt;0),MIN(1,K268/P268),"")</x:f>
        <x:v>0.6666666666666666</x:v>
      </x:c>
      <x:c r="S268" s="3006" t="n">
        <x:f>IF(AND(ISNUMBER(K268),K268&gt;0,ISNUMBER(Q268),Q268&gt;0),MIN(1,K268/Q268),"")</x:f>
        <x:v>1</x:v>
      </x:c>
      <x:c r="T268" s="3006" t="n">
        <x:f>IF(AND(ISNUMBER(R268),ISNUMBER(S268)),MIN(R268,S268),"")</x:f>
        <x:v>0.6666666666666666</x:v>
      </x:c>
      <x:c r="U268" s="3008" t="n">
        <x:f>IF(AND(ISNUMBER(M268),ISNUMBER(T268)),(M268-T268)*100,"")</x:f>
        <x:v>-23.866666666666664</x:v>
      </x:c>
      <x:c r="V268" s="3003" t="n">
        <x:v>265803</x:v>
      </x:c>
      <x:c r="W268" s="3006" t="n">
        <x:v>1.972</x:v>
      </x:c>
      <x:c r="X268" s="3006" t="n">
        <x:f>IF(AND(ISNUMBER(L268),ISNUMBER(V268),L268&gt;0,V268&gt;0),(L268-V268)/L268,"")</x:f>
        <x:v>0.566265355142749</x:v>
      </x:c>
      <x:c r="Y268" s="3009" t="n">
        <x:f>IF(AND(ISNUMBER(L268),ISNUMBER(V268),L268&gt;0,V268&gt;0),L268/V268,"")</x:f>
        <x:v>2.3055571231325453</x:v>
      </x:c>
      <x:c r="Z268" s="3006" t="n">
        <x:f>IF(AND(ISNUMBER(C268),ISNUMBER(F268),C268&gt;0,F268&gt;0),1-F268/C268,"")</x:f>
        <x:v>0.75</x:v>
      </x:c>
      <x:c r="AA268" s="3010" t="inlineStr">
        <x:is>
          <x:t xml:space="preserve">PASS</x:t>
        </x:is>
      </x:c>
      <x:c r="AB268" s="3010" t="inlineStr">
        <x:is>
          <x:t xml:space="preserve">PASS</x:t>
        </x:is>
      </x:c>
      <x:c r="AC268" s="3011" t="inlineStr">
        <x:is>
          <x:t xml:space="preserve">本轮 model-main ae058a98 + 6参数(无SoC带宽/延迟) 2026-09-26</x:t>
        </x:is>
      </x:c>
    </x:row>
    <x:row r="269" ht="20" customHeight="1">
      <x:c r="A269" s="2916" t="inlineStr">
        <x:is>
          <x:t xml:space="preserve">BF16</x:t>
        </x:is>
      </x:c>
      <x:c r="B269" s="2979" t="n">
        <x:v>128</x:v>
      </x:c>
      <x:c r="C269" s="2979" t="n">
        <x:v>256</x:v>
      </x:c>
      <x:c r="D269" s="2979" t="n">
        <x:v>32768</x:v>
      </x:c>
      <x:c r="E269" s="2979" t="n">
        <x:v>128</x:v>
      </x:c>
      <x:c r="F269" s="2979" t="n">
        <x:v>128</x:v>
      </x:c>
      <x:c r="G269" s="2979" t="n">
        <x:v>64</x:v>
      </x:c>
      <x:c r="H269" s="2980" t="n">
        <x:v>16</x:v>
      </x:c>
      <x:c r="I269" s="2980" t="n">
        <x:v>16</x:v>
      </x:c>
      <x:c r="J269" s="2980" t="n">
        <x:v>32</x:v>
      </x:c>
      <x:c r="K269" s="2981" t="n">
        <x:v>128</x:v>
      </x:c>
      <x:c r="L269" s="2979" t="n">
        <x:v>408996</x:v>
      </x:c>
      <x:c r="M269" s="2920" t="n">
        <x:f>IF(AND(ISNUMBER(L269),L269&gt;0),ROUND(B269*C269*D269/4096/L269*100,1)/100,"")</x:f>
        <x:v>0.6409999999999999</x:v>
      </x:c>
      <x:c r="N269" s="2979" t="n">
        <x:f>IF(OR(B269="",C269="",D269="",E269="",F269="",G269=""),"",ROUNDUP(B269/MIN(E269,128),0)*(C269/F269)*(D269/G269)*((MIN(B269,MIN(E269,128))+F269)*G269*2/1024))</x:f>
        <x:v>32768</x:v>
      </x:c>
      <x:c r="O269" s="2921" t="n">
        <x:f>IF(AND(ISNUMBER(N269),ISNUMBER(K269),K269&gt;0),N269*1024/K269,"")</x:f>
        <x:v>262144</x:v>
      </x:c>
      <x:c r="P269" s="2922" t="n">
        <x:f>IF(OR(E269="",F269="",G269=""),"",((H269+I269)*1024)/(E269*F269*G269/4096))</x:f>
        <x:v>128</x:v>
      </x:c>
      <x:c r="Q269" s="2922" t="n">
        <x:f>IF(OR(E269="",F269="",G269=""),"",(E269*F269*4)/(E269*F269*G269/4096))</x:f>
        <x:v>256</x:v>
      </x:c>
      <x:c r="R269" s="2920" t="n">
        <x:f>IF(AND(ISNUMBER(K269),K269&gt;0,ISNUMBER(P269),P269&gt;0),MIN(1,K269/P269),"")</x:f>
        <x:v>1</x:v>
      </x:c>
      <x:c r="S269" s="2920" t="n">
        <x:f>IF(AND(ISNUMBER(K269),K269&gt;0,ISNUMBER(Q269),Q269&gt;0),MIN(1,K269/Q269),"")</x:f>
        <x:v>0.5</x:v>
      </x:c>
      <x:c r="T269" s="2920" t="n">
        <x:f>IF(AND(ISNUMBER(R269),ISNUMBER(S269)),MIN(R269,S269),"")</x:f>
        <x:v>0.5</x:v>
      </x:c>
      <x:c r="U269" s="2922" t="n">
        <x:f>IF(AND(ISNUMBER(M269),ISNUMBER(T269)),(M269-T269)*100,"")</x:f>
        <x:v>14.09999999999999</x:v>
      </x:c>
      <x:c r="V269" s="2979" t="n">
        <x:v>305690</x:v>
      </x:c>
      <x:c r="W269" s="2920" t="n">
        <x:v>1.715</x:v>
      </x:c>
      <x:c r="X269" s="2920" t="n">
        <x:f>IF(AND(ISNUMBER(L269),ISNUMBER(V269),L269&gt;0,V269&gt;0),(L269-V269)/L269,"")</x:f>
        <x:v>0.25258437735332373</x:v>
      </x:c>
      <x:c r="Y269" s="2959" t="n">
        <x:f>IF(AND(ISNUMBER(L269),ISNUMBER(V269),L269&gt;0,V269&gt;0),L269/V269,"")</x:f>
        <x:v>1.3379436684222579</x:v>
      </x:c>
      <x:c r="Z269" s="2920" t="n">
        <x:f>IF(AND(ISNUMBER(C269),ISNUMBER(F269),C269&gt;0,F269&gt;0),1-F269/C269,"")</x:f>
        <x:v>0.5</x:v>
      </x:c>
      <x:c r="AA269" s="2938" t="inlineStr">
        <x:is>
          <x:t xml:space="preserve">PASS</x:t>
        </x:is>
      </x:c>
      <x:c r="AB269" s="2938" t="inlineStr">
        <x:is>
          <x:t xml:space="preserve">PASS</x:t>
        </x:is>
      </x:c>
      <x:c r="AC269" s="2930" t="inlineStr">
        <x:is>
          <x:t xml:space="preserve">本轮 model-main ae058a98 + 6参数(无SoC带宽/延迟) 2026-09-26</x:t>
        </x:is>
      </x:c>
    </x:row>
    <x:row r="270" ht="20" customHeight="1">
      <x:c r="A270" s="2916" t="inlineStr">
        <x:is>
          <x:t xml:space="preserve">BF16</x:t>
        </x:is>
      </x:c>
      <x:c r="B270" s="2979" t="n">
        <x:v>128</x:v>
      </x:c>
      <x:c r="C270" s="2979" t="n">
        <x:v>256</x:v>
      </x:c>
      <x:c r="D270" s="2979" t="n">
        <x:v>32768</x:v>
      </x:c>
      <x:c r="E270" s="2979" t="n">
        <x:v>128</x:v>
      </x:c>
      <x:c r="F270" s="2979" t="n">
        <x:v>128</x:v>
      </x:c>
      <x:c r="G270" s="2979" t="n">
        <x:v>128</x:v>
      </x:c>
      <x:c r="H270" s="2980" t="n">
        <x:v>32</x:v>
      </x:c>
      <x:c r="I270" s="2980" t="n">
        <x:v>32</x:v>
      </x:c>
      <x:c r="J270" s="2980" t="n">
        <x:v>64</x:v>
      </x:c>
      <x:c r="K270" s="2981" t="n">
        <x:v>128</x:v>
      </x:c>
      <x:c r="L270" s="2979" t="n">
        <x:v>409451</x:v>
      </x:c>
      <x:c r="M270" s="2920" t="n">
        <x:f>IF(AND(ISNUMBER(L270),L270&gt;0),ROUND(B270*C270*D270/4096/L270*100,1)/100,"")</x:f>
        <x:v>0.64</x:v>
      </x:c>
      <x:c r="N270" s="2979" t="n">
        <x:f>IF(OR(B270="",C270="",D270="",E270="",F270="",G270=""),"",ROUNDUP(B270/MIN(E270,128),0)*(C270/F270)*(D270/G270)*((MIN(B270,MIN(E270,128))+F270)*G270*2/1024))</x:f>
        <x:v>32768</x:v>
      </x:c>
      <x:c r="O270" s="2921" t="n">
        <x:f>IF(AND(ISNUMBER(N270),ISNUMBER(K270),K270&gt;0),N270*1024/K270,"")</x:f>
        <x:v>262144</x:v>
      </x:c>
      <x:c r="P270" s="2922" t="n">
        <x:f>IF(OR(E270="",F270="",G270=""),"",((H270+I270)*1024)/(E270*F270*G270/4096))</x:f>
        <x:v>128</x:v>
      </x:c>
      <x:c r="Q270" s="2922" t="n">
        <x:f>IF(OR(E270="",F270="",G270=""),"",(E270*F270*4)/(E270*F270*G270/4096))</x:f>
        <x:v>128</x:v>
      </x:c>
      <x:c r="R270" s="2920" t="n">
        <x:f>IF(AND(ISNUMBER(K270),K270&gt;0,ISNUMBER(P270),P270&gt;0),MIN(1,K270/P270),"")</x:f>
        <x:v>1</x:v>
      </x:c>
      <x:c r="S270" s="2920" t="n">
        <x:f>IF(AND(ISNUMBER(K270),K270&gt;0,ISNUMBER(Q270),Q270&gt;0),MIN(1,K270/Q270),"")</x:f>
        <x:v>1</x:v>
      </x:c>
      <x:c r="T270" s="2920" t="n">
        <x:f>IF(AND(ISNUMBER(R270),ISNUMBER(S270)),MIN(R270,S270),"")</x:f>
        <x:v>1</x:v>
      </x:c>
      <x:c r="U270" s="2922" t="n">
        <x:f>IF(AND(ISNUMBER(M270),ISNUMBER(T270)),(M270-T270)*100,"")</x:f>
        <x:v>-36</x:v>
      </x:c>
      <x:c r="V270" s="2979" t="n">
        <x:v>265874</x:v>
      </x:c>
      <x:c r="W270" s="2920" t="n">
        <x:v>1.972</x:v>
      </x:c>
      <x:c r="X270" s="2920" t="n">
        <x:f>IF(AND(ISNUMBER(L270),ISNUMBER(V270),L270&gt;0,V270&gt;0),(L270-V270)/L270,"")</x:f>
        <x:v>0.35065734361376577</x:v>
      </x:c>
      <x:c r="Y270" s="2959" t="n">
        <x:f>IF(AND(ISNUMBER(L270),ISNUMBER(V270),L270&gt;0,V270&gt;0),L270/V270,"")</x:f>
        <x:v>1.5400189563477438</x:v>
      </x:c>
      <x:c r="Z270" s="2920" t="n">
        <x:f>IF(AND(ISNUMBER(C270),ISNUMBER(F270),C270&gt;0,F270&gt;0),1-F270/C270,"")</x:f>
        <x:v>0.5</x:v>
      </x:c>
      <x:c r="AA270" s="2938" t="inlineStr">
        <x:is>
          <x:t xml:space="preserve">PASS</x:t>
        </x:is>
      </x:c>
      <x:c r="AB270" s="2938" t="inlineStr">
        <x:is>
          <x:t xml:space="preserve">PASS</x:t>
        </x:is>
      </x:c>
      <x:c r="AC270" s="2930" t="inlineStr">
        <x:is>
          <x:t xml:space="preserve">本轮 model-main ae058a98 + 6参数(无SoC带宽/延迟) 2026-09-26</x:t>
        </x:is>
      </x:c>
    </x:row>
    <x:row r="271" ht="20" customHeight="1">
      <x:c r="A271" s="2916" t="inlineStr">
        <x:is>
          <x:t xml:space="preserve">BF16</x:t>
        </x:is>
      </x:c>
      <x:c r="B271" s="2979" t="n">
        <x:v>128</x:v>
      </x:c>
      <x:c r="C271" s="2979" t="n">
        <x:v>256</x:v>
      </x:c>
      <x:c r="D271" s="2979" t="n">
        <x:v>32768</x:v>
      </x:c>
      <x:c r="E271" s="2979" t="n">
        <x:v>128</x:v>
      </x:c>
      <x:c r="F271" s="2979" t="n">
        <x:v>128</x:v>
      </x:c>
      <x:c r="G271" s="2979" t="n">
        <x:v>256</x:v>
      </x:c>
      <x:c r="H271" s="2980" t="n">
        <x:v>64</x:v>
      </x:c>
      <x:c r="I271" s="2980" t="n">
        <x:v>64</x:v>
      </x:c>
      <x:c r="J271" s="2980" t="n">
        <x:v>128</x:v>
      </x:c>
      <x:c r="K271" s="2981" t="n">
        <x:v>128</x:v>
      </x:c>
      <x:c r="L271" s="2979" t="n">
        <x:v>435452</x:v>
      </x:c>
      <x:c r="M271" s="2920" t="n">
        <x:f>IF(AND(ISNUMBER(L271),L271&gt;0),ROUND(B271*C271*D271/4096/L271*100,1)/100,"")</x:f>
        <x:v>0.602</x:v>
      </x:c>
      <x:c r="N271" s="2979" t="n">
        <x:f>IF(OR(B271="",C271="",D271="",E271="",F271="",G271=""),"",ROUNDUP(B271/MIN(E271,128),0)*(C271/F271)*(D271/G271)*((MIN(B271,MIN(E271,128))+F271)*G271*2/1024))</x:f>
        <x:v>32768</x:v>
      </x:c>
      <x:c r="O271" s="2921" t="n">
        <x:f>IF(AND(ISNUMBER(N271),ISNUMBER(K271),K271&gt;0),N271*1024/K271,"")</x:f>
        <x:v>262144</x:v>
      </x:c>
      <x:c r="P271" s="2922" t="n">
        <x:f>IF(OR(E271="",F271="",G271=""),"",((H271+I271)*1024)/(E271*F271*G271/4096))</x:f>
        <x:v>128</x:v>
      </x:c>
      <x:c r="Q271" s="2922" t="n">
        <x:f>IF(OR(E271="",F271="",G271=""),"",(E271*F271*4)/(E271*F271*G271/4096))</x:f>
        <x:v>64</x:v>
      </x:c>
      <x:c r="R271" s="2920" t="n">
        <x:f>IF(AND(ISNUMBER(K271),K271&gt;0,ISNUMBER(P271),P271&gt;0),MIN(1,K271/P271),"")</x:f>
        <x:v>1</x:v>
      </x:c>
      <x:c r="S271" s="2920" t="n">
        <x:f>IF(AND(ISNUMBER(K271),K271&gt;0,ISNUMBER(Q271),Q271&gt;0),MIN(1,K271/Q271),"")</x:f>
        <x:v>1</x:v>
      </x:c>
      <x:c r="T271" s="2920" t="n">
        <x:f>IF(AND(ISNUMBER(R271),ISNUMBER(S271)),MIN(R271,S271),"")</x:f>
        <x:v>1</x:v>
      </x:c>
      <x:c r="U271" s="2922" t="n">
        <x:f>IF(AND(ISNUMBER(M271),ISNUMBER(T271)),(M271-T271)*100,"")</x:f>
        <x:v>-39.800000000000004</x:v>
      </x:c>
      <x:c r="V271" s="2979" t="n">
        <x:v>266572</x:v>
      </x:c>
      <x:c r="W271" s="2920" t="n">
        <x:v>1.967</x:v>
      </x:c>
      <x:c r="X271" s="2920" t="n">
        <x:f>IF(AND(ISNUMBER(L271),ISNUMBER(V271),L271&gt;0,V271&gt;0),(L271-V271)/L271,"")</x:f>
        <x:v>0.3878269017021394</x:v>
      </x:c>
      <x:c r="Y271" s="2959" t="n">
        <x:f>IF(AND(ISNUMBER(L271),ISNUMBER(V271),L271&gt;0,V271&gt;0),L271/V271,"")</x:f>
        <x:v>1.6335249013399757</x:v>
      </x:c>
      <x:c r="Z271" s="2920" t="n">
        <x:f>IF(AND(ISNUMBER(C271),ISNUMBER(F271),C271&gt;0,F271&gt;0),1-F271/C271,"")</x:f>
        <x:v>0.5</x:v>
      </x:c>
      <x:c r="AA271" s="2938" t="inlineStr">
        <x:is>
          <x:t xml:space="preserve">PASS</x:t>
        </x:is>
      </x:c>
      <x:c r="AB271" s="2938" t="inlineStr">
        <x:is>
          <x:t xml:space="preserve">PASS</x:t>
        </x:is>
      </x:c>
      <x:c r="AC271" s="2930" t="inlineStr">
        <x:is>
          <x:t xml:space="preserve">本轮 model-main ae058a98 + 6参数(无SoC带宽/延迟) 2026-09-26</x:t>
        </x:is>
      </x:c>
    </x:row>
    <x:row r="272" ht="20" customHeight="1">
      <x:c r="A272" s="2916" t="inlineStr">
        <x:is>
          <x:t xml:space="preserve">BF16</x:t>
        </x:is>
      </x:c>
      <x:c r="B272" s="2979" t="n">
        <x:v>128</x:v>
      </x:c>
      <x:c r="C272" s="2979" t="n">
        <x:v>256</x:v>
      </x:c>
      <x:c r="D272" s="2979" t="n">
        <x:v>32768</x:v>
      </x:c>
      <x:c r="E272" s="2979" t="n">
        <x:v>128</x:v>
      </x:c>
      <x:c r="F272" s="2979" t="n">
        <x:v>256</x:v>
      </x:c>
      <x:c r="G272" s="2979" t="n">
        <x:v>64</x:v>
      </x:c>
      <x:c r="H272" s="2980" t="n">
        <x:v>16</x:v>
      </x:c>
      <x:c r="I272" s="2980" t="n">
        <x:v>32</x:v>
      </x:c>
      <x:c r="J272" s="2980" t="n">
        <x:v>48</x:v>
      </x:c>
      <x:c r="K272" s="2981" t="n">
        <x:v>128</x:v>
      </x:c>
      <x:c r="L272" s="2979" t="n">
        <x:v>307066</x:v>
      </x:c>
      <x:c r="M272" s="2920" t="n">
        <x:f>IF(AND(ISNUMBER(L272),L272&gt;0),ROUND(B272*C272*D272/4096/L272*100,1)/100,"")</x:f>
        <x:v>0.8540000000000001</x:v>
      </x:c>
      <x:c r="N272" s="2979" t="n">
        <x:f>IF(OR(B272="",C272="",D272="",E272="",F272="",G272=""),"",ROUNDUP(B272/MIN(E272,128),0)*(C272/F272)*(D272/G272)*((MIN(B272,MIN(E272,128))+F272)*G272*2/1024))</x:f>
        <x:v>24576</x:v>
      </x:c>
      <x:c r="O272" s="2921" t="n">
        <x:f>IF(AND(ISNUMBER(N272),ISNUMBER(K272),K272&gt;0),N272*1024/K272,"")</x:f>
        <x:v>196608</x:v>
      </x:c>
      <x:c r="P272" s="2922" t="n">
        <x:f>IF(OR(E272="",F272="",G272=""),"",((H272+I272)*1024)/(E272*F272*G272/4096))</x:f>
        <x:v>96</x:v>
      </x:c>
      <x:c r="Q272" s="2922" t="n">
        <x:f>IF(OR(E272="",F272="",G272=""),"",(E272*F272*4)/(E272*F272*G272/4096))</x:f>
        <x:v>256</x:v>
      </x:c>
      <x:c r="R272" s="2920" t="n">
        <x:f>IF(AND(ISNUMBER(K272),K272&gt;0,ISNUMBER(P272),P272&gt;0),MIN(1,K272/P272),"")</x:f>
        <x:v>1</x:v>
      </x:c>
      <x:c r="S272" s="2920" t="n">
        <x:f>IF(AND(ISNUMBER(K272),K272&gt;0,ISNUMBER(Q272),Q272&gt;0),MIN(1,K272/Q272),"")</x:f>
        <x:v>0.5</x:v>
      </x:c>
      <x:c r="T272" s="2920" t="n">
        <x:f>IF(AND(ISNUMBER(R272),ISNUMBER(S272)),MIN(R272,S272),"")</x:f>
        <x:v>0.5</x:v>
      </x:c>
      <x:c r="U272" s="2922" t="n">
        <x:f>IF(AND(ISNUMBER(M272),ISNUMBER(T272)),(M272-T272)*100,"")</x:f>
        <x:v>35.400000000000006</x:v>
      </x:c>
      <x:c r="V272" s="2979" t="n">
        <x:v>308552</x:v>
      </x:c>
      <x:c r="W272" s="2920" t="n">
        <x:v>1.699</x:v>
      </x:c>
      <x:c r="X272" s="2920" t="n">
        <x:f>IF(AND(ISNUMBER(L272),ISNUMBER(V272),L272&gt;0,V272&gt;0),(L272-V272)/L272,"")</x:f>
        <x:v>-0.004839350497938554</x:v>
      </x:c>
      <x:c r="Y272" s="2959" t="n">
        <x:f>IF(AND(ISNUMBER(L272),ISNUMBER(V272),L272&gt;0,V272&gt;0),L272/V272,"")</x:f>
        <x:v>0.9951839560268609</x:v>
      </x:c>
      <x:c r="Z272" s="2920" t="n">
        <x:f>IF(AND(ISNUMBER(C272),ISNUMBER(F272),C272&gt;0,F272&gt;0),1-F272/C272,"")</x:f>
        <x:v>0</x:v>
      </x:c>
      <x:c r="AA272" s="2938" t="inlineStr">
        <x:is>
          <x:t xml:space="preserve">PASS</x:t>
        </x:is>
      </x:c>
      <x:c r="AB272" s="2938" t="inlineStr">
        <x:is>
          <x:t xml:space="preserve">PASS</x:t>
        </x:is>
      </x:c>
      <x:c r="AC272" s="2930" t="inlineStr">
        <x:is>
          <x:t xml:space="preserve">本轮 model-main ae058a98 + 6参数(无SoC带宽/延迟) 2026-09-26</x:t>
        </x:is>
      </x:c>
    </x:row>
    <x:row r="273" ht="20" customHeight="1">
      <x:c r="A273" s="2916" t="inlineStr">
        <x:is>
          <x:t xml:space="preserve">BF16</x:t>
        </x:is>
      </x:c>
      <x:c r="B273" s="2979" t="n">
        <x:v>128</x:v>
      </x:c>
      <x:c r="C273" s="2979" t="n">
        <x:v>256</x:v>
      </x:c>
      <x:c r="D273" s="2979" t="n">
        <x:v>32768</x:v>
      </x:c>
      <x:c r="E273" s="2979" t="n">
        <x:v>128</x:v>
      </x:c>
      <x:c r="F273" s="2979" t="n">
        <x:v>256</x:v>
      </x:c>
      <x:c r="G273" s="2979" t="n">
        <x:v>128</x:v>
      </x:c>
      <x:c r="H273" s="2980" t="n">
        <x:v>32</x:v>
      </x:c>
      <x:c r="I273" s="2980" t="n">
        <x:v>64</x:v>
      </x:c>
      <x:c r="J273" s="2980" t="n">
        <x:v>96</x:v>
      </x:c>
      <x:c r="K273" s="2981" t="n">
        <x:v>128</x:v>
      </x:c>
      <x:c r="L273" s="2979" t="n">
        <x:v>311652</x:v>
      </x:c>
      <x:c r="M273" s="2920" t="n">
        <x:f>IF(AND(ISNUMBER(L273),L273&gt;0),ROUND(B273*C273*D273/4096/L273*100,1)/100,"")</x:f>
        <x:v>0.841</x:v>
      </x:c>
      <x:c r="N273" s="2979" t="n">
        <x:f>IF(OR(B273="",C273="",D273="",E273="",F273="",G273=""),"",ROUNDUP(B273/MIN(E273,128),0)*(C273/F273)*(D273/G273)*((MIN(B273,MIN(E273,128))+F273)*G273*2/1024))</x:f>
        <x:v>24576</x:v>
      </x:c>
      <x:c r="O273" s="2921" t="n">
        <x:f>IF(AND(ISNUMBER(N273),ISNUMBER(K273),K273&gt;0),N273*1024/K273,"")</x:f>
        <x:v>196608</x:v>
      </x:c>
      <x:c r="P273" s="2922" t="n">
        <x:f>IF(OR(E273="",F273="",G273=""),"",((H273+I273)*1024)/(E273*F273*G273/4096))</x:f>
        <x:v>96</x:v>
      </x:c>
      <x:c r="Q273" s="2922" t="n">
        <x:f>IF(OR(E273="",F273="",G273=""),"",(E273*F273*4)/(E273*F273*G273/4096))</x:f>
        <x:v>128</x:v>
      </x:c>
      <x:c r="R273" s="2920" t="n">
        <x:f>IF(AND(ISNUMBER(K273),K273&gt;0,ISNUMBER(P273),P273&gt;0),MIN(1,K273/P273),"")</x:f>
        <x:v>1</x:v>
      </x:c>
      <x:c r="S273" s="2920" t="n">
        <x:f>IF(AND(ISNUMBER(K273),K273&gt;0,ISNUMBER(Q273),Q273&gt;0),MIN(1,K273/Q273),"")</x:f>
        <x:v>1</x:v>
      </x:c>
      <x:c r="T273" s="2920" t="n">
        <x:f>IF(AND(ISNUMBER(R273),ISNUMBER(S273)),MIN(R273,S273),"")</x:f>
        <x:v>1</x:v>
      </x:c>
      <x:c r="U273" s="2922" t="n">
        <x:f>IF(AND(ISNUMBER(M273),ISNUMBER(T273)),(M273-T273)*100,"")</x:f>
        <x:v>-15.900000000000002</x:v>
      </x:c>
      <x:c r="V273" s="2979" t="n">
        <x:v>286938</x:v>
      </x:c>
      <x:c r="W273" s="2920" t="n">
        <x:v>1.827</x:v>
      </x:c>
      <x:c r="X273" s="2920" t="n">
        <x:f>IF(AND(ISNUMBER(L273),ISNUMBER(V273),L273&gt;0,V273&gt;0),(L273-V273)/L273,"")</x:f>
        <x:v>0.07929998844865427</x:v>
      </x:c>
      <x:c r="Y273" s="2959" t="n">
        <x:f>IF(AND(ISNUMBER(L273),ISNUMBER(V273),L273&gt;0,V273&gt;0),L273/V273,"")</x:f>
        <x:v>1.0861301047613072</x:v>
      </x:c>
      <x:c r="Z273" s="2920" t="n">
        <x:f>IF(AND(ISNUMBER(C273),ISNUMBER(F273),C273&gt;0,F273&gt;0),1-F273/C273,"")</x:f>
        <x:v>0</x:v>
      </x:c>
      <x:c r="AA273" s="2938" t="inlineStr">
        <x:is>
          <x:t xml:space="preserve">PASS</x:t>
        </x:is>
      </x:c>
      <x:c r="AB273" s="2938" t="inlineStr">
        <x:is>
          <x:t xml:space="preserve">PASS</x:t>
        </x:is>
      </x:c>
      <x:c r="AC273" s="2930" t="inlineStr">
        <x:is>
          <x:t xml:space="preserve">本轮 model-main ae058a98 + 6参数(无SoC带宽/延迟) 2026-09-26</x:t>
        </x:is>
      </x:c>
    </x:row>
    <x:row r="274" ht="20" customHeight="1">
      <x:c r="A274" s="2916" t="inlineStr">
        <x:is>
          <x:t xml:space="preserve">BF16</x:t>
        </x:is>
      </x:c>
      <x:c r="B274" s="2979" t="n">
        <x:v>128</x:v>
      </x:c>
      <x:c r="C274" s="2979" t="n">
        <x:v>256</x:v>
      </x:c>
      <x:c r="D274" s="2979" t="n">
        <x:v>32768</x:v>
      </x:c>
      <x:c r="E274" s="2979" t="n">
        <x:v>128</x:v>
      </x:c>
      <x:c r="F274" s="2979" t="n">
        <x:v>256</x:v>
      </x:c>
      <x:c r="G274" s="2979" t="n">
        <x:v>256</x:v>
      </x:c>
      <x:c r="H274" s="2980" t="n">
        <x:v>64</x:v>
      </x:c>
      <x:c r="I274" s="2980" t="n">
        <x:v>128</x:v>
      </x:c>
      <x:c r="J274" s="2980" t="n">
        <x:v>192</x:v>
      </x:c>
      <x:c r="K274" s="2981" t="n">
        <x:v>128</x:v>
      </x:c>
      <x:c r="L274" s="2979" t="n">
        <x:v>563218</x:v>
      </x:c>
      <x:c r="M274" s="2920" t="n">
        <x:f>IF(AND(ISNUMBER(L274),L274&gt;0),ROUND(B274*C274*D274/4096/L274*100,1)/100,"")</x:f>
        <x:v>0.465</x:v>
      </x:c>
      <x:c r="N274" s="2979" t="n">
        <x:f>IF(OR(B274="",C274="",D274="",E274="",F274="",G274=""),"",ROUNDUP(B274/MIN(E274,128),0)*(C274/F274)*(D274/G274)*((MIN(B274,MIN(E274,128))+F274)*G274*2/1024))</x:f>
        <x:v>24576</x:v>
      </x:c>
      <x:c r="O274" s="2921" t="n">
        <x:f>IF(AND(ISNUMBER(N274),ISNUMBER(K274),K274&gt;0),N274*1024/K274,"")</x:f>
        <x:v>196608</x:v>
      </x:c>
      <x:c r="P274" s="2922" t="n">
        <x:f>IF(OR(E274="",F274="",G274=""),"",((H274+I274)*1024)/(E274*F274*G274/4096))</x:f>
        <x:v>96</x:v>
      </x:c>
      <x:c r="Q274" s="2922" t="n">
        <x:f>IF(OR(E274="",F274="",G274=""),"",(E274*F274*4)/(E274*F274*G274/4096))</x:f>
        <x:v>64</x:v>
      </x:c>
      <x:c r="R274" s="2920" t="n">
        <x:f>IF(AND(ISNUMBER(K274),K274&gt;0,ISNUMBER(P274),P274&gt;0),MIN(1,K274/P274),"")</x:f>
        <x:v>1</x:v>
      </x:c>
      <x:c r="S274" s="2920" t="n">
        <x:f>IF(AND(ISNUMBER(K274),K274&gt;0,ISNUMBER(Q274),Q274&gt;0),MIN(1,K274/Q274),"")</x:f>
        <x:v>1</x:v>
      </x:c>
      <x:c r="T274" s="2920" t="n">
        <x:f>IF(AND(ISNUMBER(R274),ISNUMBER(S274)),MIN(R274,S274),"")</x:f>
        <x:v>1</x:v>
      </x:c>
      <x:c r="U274" s="2922" t="n">
        <x:f>IF(AND(ISNUMBER(M274),ISNUMBER(T274)),(M274-T274)*100,"")</x:f>
        <x:v>-53.49999999999999</x:v>
      </x:c>
      <x:c r="V274" s="2979" t="n">
        <x:v>277688</x:v>
      </x:c>
      <x:c r="W274" s="2920" t="n">
        <x:v>1.888</x:v>
      </x:c>
      <x:c r="X274" s="2920" t="n">
        <x:f>IF(AND(ISNUMBER(L274),ISNUMBER(V274),L274&gt;0,V274&gt;0),(L274-V274)/L274,"")</x:f>
        <x:v>0.5069617803408272</x:v>
      </x:c>
      <x:c r="Y274" s="2959" t="n">
        <x:f>IF(AND(ISNUMBER(L274),ISNUMBER(V274),L274&gt;0,V274&gt;0),L274/V274,"")</x:f>
        <x:v>2.028240327273775</x:v>
      </x:c>
      <x:c r="Z274" s="2920" t="n">
        <x:f>IF(AND(ISNUMBER(C274),ISNUMBER(F274),C274&gt;0,F274&gt;0),1-F274/C274,"")</x:f>
        <x:v>0</x:v>
      </x:c>
      <x:c r="AA274" s="2938" t="inlineStr">
        <x:is>
          <x:t xml:space="preserve">PASS</x:t>
        </x:is>
      </x:c>
      <x:c r="AB274" s="2938" t="inlineStr">
        <x:is>
          <x:t xml:space="preserve">PASS</x:t>
        </x:is>
      </x:c>
      <x:c r="AC274" s="2930" t="inlineStr">
        <x:is>
          <x:t xml:space="preserve">本轮 model-main ae058a98 + 6参数(无SoC带宽/延迟) 2026-09-26</x:t>
        </x:is>
      </x:c>
    </x:row>
    <x:row r="275" ht="20" customHeight="1">
      <x:c r="A275" s="2822" t="inlineStr">
        <x:is>
          <x:t xml:space="preserve">FP16</x:t>
        </x:is>
      </x:c>
      <x:c r="B275" s="2964" t="n"/>
      <x:c r="C275" s="2964" t="n"/>
      <x:c r="D275" s="2964" t="n"/>
      <x:c r="E275" s="2964" t="n"/>
      <x:c r="F275" s="2964" t="n"/>
      <x:c r="G275" s="2964" t="n"/>
      <x:c r="H275" s="2965" t="n"/>
      <x:c r="I275" s="2965" t="n"/>
      <x:c r="J275" s="2965" t="n"/>
      <x:c r="K275" s="2966"/>
      <x:c r="L275" s="2964" t="n"/>
      <x:c r="M275" s="2826" t="str"/>
      <x:c r="N275" s="2964" t="str"/>
      <x:c r="O275" s="2827" t="str"/>
      <x:c r="P275" s="2828" t="str"/>
      <x:c r="Q275" s="2828" t="str"/>
      <x:c r="R275" s="2826" t="str"/>
      <x:c r="S275" s="2826" t="str"/>
      <x:c r="T275" s="2826" t="str"/>
      <x:c r="U275" s="2828" t="str"/>
      <x:c r="V275" s="2964" t="n"/>
      <x:c r="W275" s="2826" t="n"/>
      <x:c r="X275" s="2826" t="n"/>
      <x:c r="Y275" s="2954" t="n"/>
      <x:c r="Z275" s="2826" t="n"/>
      <x:c r="AA275" s="2822" t="n"/>
      <x:c r="AB275" s="2822" t="n"/>
      <x:c r="AC275" s="2822" t="n"/>
    </x:row>
    <x:row r="276" ht="20" customHeight="1">
      <x:c r="A276" s="2841" t="inlineStr">
        <x:is>
          <x:t xml:space="preserve">FP16</x:t>
        </x:is>
      </x:c>
      <x:c r="B276" s="2967" t="n">
        <x:v>128</x:v>
      </x:c>
      <x:c r="C276" s="2967" t="n">
        <x:v>256</x:v>
      </x:c>
      <x:c r="D276" s="2967" t="n">
        <x:v>32768</x:v>
      </x:c>
      <x:c r="E276" s="2967" t="n">
        <x:v>128</x:v>
      </x:c>
      <x:c r="F276" s="2967" t="n">
        <x:v>64</x:v>
      </x:c>
      <x:c r="G276" s="2967" t="n">
        <x:v>64</x:v>
      </x:c>
      <x:c r="H276" s="2968" t="n">
        <x:v>16</x:v>
      </x:c>
      <x:c r="I276" s="2968" t="n">
        <x:v>8</x:v>
      </x:c>
      <x:c r="J276" s="2968" t="n">
        <x:v>24</x:v>
      </x:c>
      <x:c r="K276" s="2969" t="n">
        <x:v>128</x:v>
      </x:c>
      <x:c r="L276" s="2967" t="n">
        <x:v>612564</x:v>
      </x:c>
      <x:c r="M276" s="2845" t="n">
        <x:f>IF(AND(ISNUMBER(L276),L276&gt;0),ROUND(B276*C276*D276/4096/L276*100,1)/100,"")</x:f>
        <x:v>0.428</x:v>
      </x:c>
      <x:c r="N276" s="2967" t="n">
        <x:f>IF(OR(B276="",C276="",D276="",E276="",F276="",G276=""),"",ROUNDUP(B276/MIN(E276,128),0)*(C276/F276)*(D276/G276)*((MIN(B276,MIN(E276,128))+F276)*G276*2/1024))</x:f>
        <x:v>49152</x:v>
      </x:c>
      <x:c r="O276" s="2846" t="n">
        <x:f>IF(AND(ISNUMBER(N276),ISNUMBER(K276),K276&gt;0),N276*1024/K276,"")</x:f>
        <x:v>393216</x:v>
      </x:c>
      <x:c r="P276" s="2847" t="n">
        <x:f>IF(OR(E276="",F276="",G276=""),"",((H276+I276)*1024)/(E276*F276*G276/4096))</x:f>
        <x:v>192</x:v>
      </x:c>
      <x:c r="Q276" s="2847" t="n">
        <x:f>IF(OR(E276="",F276="",G276=""),"",(E276*F276*4)/(E276*F276*G276/4096))</x:f>
        <x:v>256</x:v>
      </x:c>
      <x:c r="R276" s="2845" t="n">
        <x:f>IF(AND(ISNUMBER(K276),K276&gt;0,ISNUMBER(P276),P276&gt;0),MIN(1,K276/P276),"")</x:f>
        <x:v>0.6666666666666666</x:v>
      </x:c>
      <x:c r="S276" s="2845" t="n">
        <x:f>IF(AND(ISNUMBER(K276),K276&gt;0,ISNUMBER(Q276),Q276&gt;0),MIN(1,K276/Q276),"")</x:f>
        <x:v>0.5</x:v>
      </x:c>
      <x:c r="T276" s="2845" t="n">
        <x:f>IF(AND(ISNUMBER(R276),ISNUMBER(S276)),MIN(R276,S276),"")</x:f>
        <x:v>0.5</x:v>
      </x:c>
      <x:c r="U276" s="2847" t="n">
        <x:f>IF(AND(ISNUMBER(M276),ISNUMBER(T276)),(M276-T276)*100,"")</x:f>
        <x:v>-7.200000000000001</x:v>
      </x:c>
      <x:c r="V276" s="2967" t="n">
        <x:v>305607</x:v>
      </x:c>
      <x:c r="W276" s="2845" t="n">
        <x:v>1.716</x:v>
      </x:c>
      <x:c r="X276" s="2845" t="n">
        <x:f>IF(AND(ISNUMBER(L276),ISNUMBER(V276),L276&gt;0,V276&gt;0),(L276-V276)/L276,"")</x:f>
        <x:v>0.5011019256763375</x:v>
      </x:c>
      <x:c r="Y276" s="2955" t="n">
        <x:f>IF(AND(ISNUMBER(L276),ISNUMBER(V276),L276&gt;0,V276&gt;0),L276/V276,"")</x:f>
        <x:v>2.004417438082243</x:v>
      </x:c>
      <x:c r="Z276" s="2845" t="n">
        <x:f>IF(AND(ISNUMBER(C276),ISNUMBER(F276),C276&gt;0,F276&gt;0),1-F276/C276,"")</x:f>
        <x:v>0.75</x:v>
      </x:c>
      <x:c r="AA276" s="2931" t="inlineStr">
        <x:is>
          <x:t xml:space="preserve">PASS</x:t>
        </x:is>
      </x:c>
      <x:c r="AB276" s="2931" t="inlineStr">
        <x:is>
          <x:t xml:space="preserve">PASS</x:t>
        </x:is>
      </x:c>
      <x:c r="AC276" s="2855" t="inlineStr">
        <x:is>
          <x:t xml:space="preserve">本轮 model-main ae058a98 + 6参数(无SoC带宽/延迟) 2026-09-26</x:t>
        </x:is>
      </x:c>
    </x:row>
    <x:row r="277" ht="20" customHeight="1">
      <x:c r="A277" s="2992" t="inlineStr">
        <x:is>
          <x:t xml:space="preserve">FP16</x:t>
        </x:is>
      </x:c>
      <x:c r="B277" s="2993" t="n">
        <x:v>128</x:v>
      </x:c>
      <x:c r="C277" s="2993" t="n">
        <x:v>256</x:v>
      </x:c>
      <x:c r="D277" s="2993" t="n">
        <x:v>32768</x:v>
      </x:c>
      <x:c r="E277" s="2993" t="n">
        <x:v>128</x:v>
      </x:c>
      <x:c r="F277" s="2993" t="n">
        <x:v>64</x:v>
      </x:c>
      <x:c r="G277" s="2993" t="n">
        <x:v>128</x:v>
      </x:c>
      <x:c r="H277" s="2994" t="n">
        <x:v>32</x:v>
      </x:c>
      <x:c r="I277" s="2994" t="n">
        <x:v>16</x:v>
      </x:c>
      <x:c r="J277" s="2994" t="n">
        <x:v>48</x:v>
      </x:c>
      <x:c r="K277" s="2995" t="n">
        <x:v>128</x:v>
      </x:c>
      <x:c r="L277" s="2993" t="n">
        <x:v>613135</x:v>
      </x:c>
      <x:c r="M277" s="2996" t="n">
        <x:f>IF(AND(ISNUMBER(L277),L277&gt;0),ROUND(B277*C277*D277/4096/L277*100,1)/100,"")</x:f>
        <x:v>0.428</x:v>
      </x:c>
      <x:c r="N277" s="2993" t="n">
        <x:f>IF(OR(B277="",C277="",D277="",E277="",F277="",G277=""),"",ROUNDUP(B277/MIN(E277,128),0)*(C277/F277)*(D277/G277)*((MIN(B277,MIN(E277,128))+F277)*G277*2/1024))</x:f>
        <x:v>49152</x:v>
      </x:c>
      <x:c r="O277" s="2997" t="n">
        <x:f>IF(AND(ISNUMBER(N277),ISNUMBER(K277),K277&gt;0),N277*1024/K277,"")</x:f>
        <x:v>393216</x:v>
      </x:c>
      <x:c r="P277" s="2998" t="n">
        <x:f>IF(OR(E277="",F277="",G277=""),"",((H277+I277)*1024)/(E277*F277*G277/4096))</x:f>
        <x:v>192</x:v>
      </x:c>
      <x:c r="Q277" s="2998" t="n">
        <x:f>IF(OR(E277="",F277="",G277=""),"",(E277*F277*4)/(E277*F277*G277/4096))</x:f>
        <x:v>128</x:v>
      </x:c>
      <x:c r="R277" s="2996" t="n">
        <x:f>IF(AND(ISNUMBER(K277),K277&gt;0,ISNUMBER(P277),P277&gt;0),MIN(1,K277/P277),"")</x:f>
        <x:v>0.6666666666666666</x:v>
      </x:c>
      <x:c r="S277" s="2996" t="n">
        <x:f>IF(AND(ISNUMBER(K277),K277&gt;0,ISNUMBER(Q277),Q277&gt;0),MIN(1,K277/Q277),"")</x:f>
        <x:v>1</x:v>
      </x:c>
      <x:c r="T277" s="2996" t="n">
        <x:f>IF(AND(ISNUMBER(R277),ISNUMBER(S277)),MIN(R277,S277),"")</x:f>
        <x:v>0.6666666666666666</x:v>
      </x:c>
      <x:c r="U277" s="2998" t="n">
        <x:f>IF(AND(ISNUMBER(M277),ISNUMBER(T277)),(M277-T277)*100,"")</x:f>
        <x:v>-23.866666666666664</x:v>
      </x:c>
      <x:c r="V277" s="2993" t="n">
        <x:v>266991</x:v>
      </x:c>
      <x:c r="W277" s="2996" t="n">
        <x:v>1.964</x:v>
      </x:c>
      <x:c r="X277" s="2996" t="n">
        <x:f>IF(AND(ISNUMBER(L277),ISNUMBER(V277),L277&gt;0,V277&gt;0),(L277-V277)/L277,"")</x:f>
        <x:v>0.5645477749598375</x:v>
      </x:c>
      <x:c r="Y277" s="2999" t="n">
        <x:f>IF(AND(ISNUMBER(L277),ISNUMBER(V277),L277&gt;0,V277&gt;0),L277/V277,"")</x:f>
        <x:v>2.2964631766613857</x:v>
      </x:c>
      <x:c r="Z277" s="2996" t="n">
        <x:f>IF(AND(ISNUMBER(C277),ISNUMBER(F277),C277&gt;0,F277&gt;0),1-F277/C277,"")</x:f>
        <x:v>0.75</x:v>
      </x:c>
      <x:c r="AA277" s="3000" t="inlineStr">
        <x:is>
          <x:t xml:space="preserve">PASS</x:t>
        </x:is>
      </x:c>
      <x:c r="AB277" s="3000" t="inlineStr">
        <x:is>
          <x:t xml:space="preserve">PASS</x:t>
        </x:is>
      </x:c>
      <x:c r="AC277" s="3001" t="inlineStr">
        <x:is>
          <x:t xml:space="preserve">本轮 model-main ae058a98 + 6参数(无SoC带宽/延迟) 2026-09-26</x:t>
        </x:is>
      </x:c>
    </x:row>
    <x:row r="278" ht="20" customHeight="1">
      <x:c r="A278" s="3002" t="inlineStr">
        <x:is>
          <x:t xml:space="preserve">FP16</x:t>
        </x:is>
      </x:c>
      <x:c r="B278" s="3003" t="n">
        <x:v>128</x:v>
      </x:c>
      <x:c r="C278" s="3003" t="n">
        <x:v>256</x:v>
      </x:c>
      <x:c r="D278" s="3003" t="n">
        <x:v>32768</x:v>
      </x:c>
      <x:c r="E278" s="3003" t="n">
        <x:v>128</x:v>
      </x:c>
      <x:c r="F278" s="3003" t="n">
        <x:v>64</x:v>
      </x:c>
      <x:c r="G278" s="3003" t="n">
        <x:v>256</x:v>
      </x:c>
      <x:c r="H278" s="3004" t="n">
        <x:v>64</x:v>
      </x:c>
      <x:c r="I278" s="3004" t="n">
        <x:v>32</x:v>
      </x:c>
      <x:c r="J278" s="3004" t="n">
        <x:v>96</x:v>
      </x:c>
      <x:c r="K278" s="3005" t="n">
        <x:v>128</x:v>
      </x:c>
      <x:c r="L278" s="3003" t="n">
        <x:v>612824</x:v>
      </x:c>
      <x:c r="M278" s="3006" t="n">
        <x:f>IF(AND(ISNUMBER(L278),L278&gt;0),ROUND(B278*C278*D278/4096/L278*100,1)/100,"")</x:f>
        <x:v>0.428</x:v>
      </x:c>
      <x:c r="N278" s="3003" t="n">
        <x:f>IF(OR(B278="",C278="",D278="",E278="",F278="",G278=""),"",ROUNDUP(B278/MIN(E278,128),0)*(C278/F278)*(D278/G278)*((MIN(B278,MIN(E278,128))+F278)*G278*2/1024))</x:f>
        <x:v>49152</x:v>
      </x:c>
      <x:c r="O278" s="3007" t="n">
        <x:f>IF(AND(ISNUMBER(N278),ISNUMBER(K278),K278&gt;0),N278*1024/K278,"")</x:f>
        <x:v>393216</x:v>
      </x:c>
      <x:c r="P278" s="3008" t="n">
        <x:f>IF(OR(E278="",F278="",G278=""),"",((H278+I278)*1024)/(E278*F278*G278/4096))</x:f>
        <x:v>192</x:v>
      </x:c>
      <x:c r="Q278" s="3008" t="n">
        <x:f>IF(OR(E278="",F278="",G278=""),"",(E278*F278*4)/(E278*F278*G278/4096))</x:f>
        <x:v>64</x:v>
      </x:c>
      <x:c r="R278" s="3006" t="n">
        <x:f>IF(AND(ISNUMBER(K278),K278&gt;0,ISNUMBER(P278),P278&gt;0),MIN(1,K278/P278),"")</x:f>
        <x:v>0.6666666666666666</x:v>
      </x:c>
      <x:c r="S278" s="3006" t="n">
        <x:f>IF(AND(ISNUMBER(K278),K278&gt;0,ISNUMBER(Q278),Q278&gt;0),MIN(1,K278/Q278),"")</x:f>
        <x:v>1</x:v>
      </x:c>
      <x:c r="T278" s="3006" t="n">
        <x:f>IF(AND(ISNUMBER(R278),ISNUMBER(S278)),MIN(R278,S278),"")</x:f>
        <x:v>0.6666666666666666</x:v>
      </x:c>
      <x:c r="U278" s="3008" t="n">
        <x:f>IF(AND(ISNUMBER(M278),ISNUMBER(T278)),(M278-T278)*100,"")</x:f>
        <x:v>-23.866666666666664</x:v>
      </x:c>
      <x:c r="V278" s="3003" t="n">
        <x:v>265803</x:v>
      </x:c>
      <x:c r="W278" s="3006" t="n">
        <x:v>1.972</x:v>
      </x:c>
      <x:c r="X278" s="3006" t="n">
        <x:f>IF(AND(ISNUMBER(L278),ISNUMBER(V278),L278&gt;0,V278&gt;0),(L278-V278)/L278,"")</x:f>
        <x:v>0.566265355142749</x:v>
      </x:c>
      <x:c r="Y278" s="3009" t="n">
        <x:f>IF(AND(ISNUMBER(L278),ISNUMBER(V278),L278&gt;0,V278&gt;0),L278/V278,"")</x:f>
        <x:v>2.3055571231325453</x:v>
      </x:c>
      <x:c r="Z278" s="3006" t="n">
        <x:f>IF(AND(ISNUMBER(C278),ISNUMBER(F278),C278&gt;0,F278&gt;0),1-F278/C278,"")</x:f>
        <x:v>0.75</x:v>
      </x:c>
      <x:c r="AA278" s="3010" t="inlineStr">
        <x:is>
          <x:t xml:space="preserve">PASS</x:t>
        </x:is>
      </x:c>
      <x:c r="AB278" s="3010" t="inlineStr">
        <x:is>
          <x:t xml:space="preserve">PASS</x:t>
        </x:is>
      </x:c>
      <x:c r="AC278" s="3011" t="inlineStr">
        <x:is>
          <x:t xml:space="preserve">本轮 model-main ae058a98 + 6参数(无SoC带宽/延迟) 2026-09-26</x:t>
        </x:is>
      </x:c>
    </x:row>
    <x:row r="279" ht="20" customHeight="1">
      <x:c r="A279" s="2841" t="inlineStr">
        <x:is>
          <x:t xml:space="preserve">FP16</x:t>
        </x:is>
      </x:c>
      <x:c r="B279" s="2967" t="n">
        <x:v>128</x:v>
      </x:c>
      <x:c r="C279" s="2967" t="n">
        <x:v>256</x:v>
      </x:c>
      <x:c r="D279" s="2967" t="n">
        <x:v>32768</x:v>
      </x:c>
      <x:c r="E279" s="2967" t="n">
        <x:v>128</x:v>
      </x:c>
      <x:c r="F279" s="2967" t="n">
        <x:v>128</x:v>
      </x:c>
      <x:c r="G279" s="2967" t="n">
        <x:v>64</x:v>
      </x:c>
      <x:c r="H279" s="2968" t="n">
        <x:v>16</x:v>
      </x:c>
      <x:c r="I279" s="2968" t="n">
        <x:v>16</x:v>
      </x:c>
      <x:c r="J279" s="2968" t="n">
        <x:v>32</x:v>
      </x:c>
      <x:c r="K279" s="2969" t="n">
        <x:v>128</x:v>
      </x:c>
      <x:c r="L279" s="2967" t="n">
        <x:v>408996</x:v>
      </x:c>
      <x:c r="M279" s="2845" t="n">
        <x:f>IF(AND(ISNUMBER(L279),L279&gt;0),ROUND(B279*C279*D279/4096/L279*100,1)/100,"")</x:f>
        <x:v>0.6409999999999999</x:v>
      </x:c>
      <x:c r="N279" s="2967" t="n">
        <x:f>IF(OR(B279="",C279="",D279="",E279="",F279="",G279=""),"",ROUNDUP(B279/MIN(E279,128),0)*(C279/F279)*(D279/G279)*((MIN(B279,MIN(E279,128))+F279)*G279*2/1024))</x:f>
        <x:v>32768</x:v>
      </x:c>
      <x:c r="O279" s="2846" t="n">
        <x:f>IF(AND(ISNUMBER(N279),ISNUMBER(K279),K279&gt;0),N279*1024/K279,"")</x:f>
        <x:v>262144</x:v>
      </x:c>
      <x:c r="P279" s="2847" t="n">
        <x:f>IF(OR(E279="",F279="",G279=""),"",((H279+I279)*1024)/(E279*F279*G279/4096))</x:f>
        <x:v>128</x:v>
      </x:c>
      <x:c r="Q279" s="2847" t="n">
        <x:f>IF(OR(E279="",F279="",G279=""),"",(E279*F279*4)/(E279*F279*G279/4096))</x:f>
        <x:v>256</x:v>
      </x:c>
      <x:c r="R279" s="2845" t="n">
        <x:f>IF(AND(ISNUMBER(K279),K279&gt;0,ISNUMBER(P279),P279&gt;0),MIN(1,K279/P279),"")</x:f>
        <x:v>1</x:v>
      </x:c>
      <x:c r="S279" s="2845" t="n">
        <x:f>IF(AND(ISNUMBER(K279),K279&gt;0,ISNUMBER(Q279),Q279&gt;0),MIN(1,K279/Q279),"")</x:f>
        <x:v>0.5</x:v>
      </x:c>
      <x:c r="T279" s="2845" t="n">
        <x:f>IF(AND(ISNUMBER(R279),ISNUMBER(S279)),MIN(R279,S279),"")</x:f>
        <x:v>0.5</x:v>
      </x:c>
      <x:c r="U279" s="2847" t="n">
        <x:f>IF(AND(ISNUMBER(M279),ISNUMBER(T279)),(M279-T279)*100,"")</x:f>
        <x:v>14.09999999999999</x:v>
      </x:c>
      <x:c r="V279" s="2967" t="n">
        <x:v>305690</x:v>
      </x:c>
      <x:c r="W279" s="2845" t="n">
        <x:v>1.715</x:v>
      </x:c>
      <x:c r="X279" s="2845" t="n">
        <x:f>IF(AND(ISNUMBER(L279),ISNUMBER(V279),L279&gt;0,V279&gt;0),(L279-V279)/L279,"")</x:f>
        <x:v>0.25258437735332373</x:v>
      </x:c>
      <x:c r="Y279" s="2955" t="n">
        <x:f>IF(AND(ISNUMBER(L279),ISNUMBER(V279),L279&gt;0,V279&gt;0),L279/V279,"")</x:f>
        <x:v>1.3379436684222579</x:v>
      </x:c>
      <x:c r="Z279" s="2845" t="n">
        <x:f>IF(AND(ISNUMBER(C279),ISNUMBER(F279),C279&gt;0,F279&gt;0),1-F279/C279,"")</x:f>
        <x:v>0.5</x:v>
      </x:c>
      <x:c r="AA279" s="2931" t="inlineStr">
        <x:is>
          <x:t xml:space="preserve">PASS</x:t>
        </x:is>
      </x:c>
      <x:c r="AB279" s="2931" t="inlineStr">
        <x:is>
          <x:t xml:space="preserve">PASS</x:t>
        </x:is>
      </x:c>
      <x:c r="AC279" s="2855" t="inlineStr">
        <x:is>
          <x:t xml:space="preserve">本轮 model-main ae058a98 + 6参数(无SoC带宽/延迟) 2026-09-26</x:t>
        </x:is>
      </x:c>
    </x:row>
    <x:row r="280" ht="20" customHeight="1">
      <x:c r="A280" s="2841" t="inlineStr">
        <x:is>
          <x:t xml:space="preserve">FP16</x:t>
        </x:is>
      </x:c>
      <x:c r="B280" s="2967" t="n">
        <x:v>128</x:v>
      </x:c>
      <x:c r="C280" s="2967" t="n">
        <x:v>256</x:v>
      </x:c>
      <x:c r="D280" s="2967" t="n">
        <x:v>32768</x:v>
      </x:c>
      <x:c r="E280" s="2967" t="n">
        <x:v>128</x:v>
      </x:c>
      <x:c r="F280" s="2967" t="n">
        <x:v>128</x:v>
      </x:c>
      <x:c r="G280" s="2967" t="n">
        <x:v>128</x:v>
      </x:c>
      <x:c r="H280" s="2968" t="n">
        <x:v>32</x:v>
      </x:c>
      <x:c r="I280" s="2968" t="n">
        <x:v>32</x:v>
      </x:c>
      <x:c r="J280" s="2968" t="n">
        <x:v>64</x:v>
      </x:c>
      <x:c r="K280" s="2969" t="n">
        <x:v>128</x:v>
      </x:c>
      <x:c r="L280" s="2967" t="n">
        <x:v>409451</x:v>
      </x:c>
      <x:c r="M280" s="2845" t="n">
        <x:f>IF(AND(ISNUMBER(L280),L280&gt;0),ROUND(B280*C280*D280/4096/L280*100,1)/100,"")</x:f>
        <x:v>0.64</x:v>
      </x:c>
      <x:c r="N280" s="2967" t="n">
        <x:f>IF(OR(B280="",C280="",D280="",E280="",F280="",G280=""),"",ROUNDUP(B280/MIN(E280,128),0)*(C280/F280)*(D280/G280)*((MIN(B280,MIN(E280,128))+F280)*G280*2/1024))</x:f>
        <x:v>32768</x:v>
      </x:c>
      <x:c r="O280" s="2846" t="n">
        <x:f>IF(AND(ISNUMBER(N280),ISNUMBER(K280),K280&gt;0),N280*1024/K280,"")</x:f>
        <x:v>262144</x:v>
      </x:c>
      <x:c r="P280" s="2847" t="n">
        <x:f>IF(OR(E280="",F280="",G280=""),"",((H280+I280)*1024)/(E280*F280*G280/4096))</x:f>
        <x:v>128</x:v>
      </x:c>
      <x:c r="Q280" s="2847" t="n">
        <x:f>IF(OR(E280="",F280="",G280=""),"",(E280*F280*4)/(E280*F280*G280/4096))</x:f>
        <x:v>128</x:v>
      </x:c>
      <x:c r="R280" s="2845" t="n">
        <x:f>IF(AND(ISNUMBER(K280),K280&gt;0,ISNUMBER(P280),P280&gt;0),MIN(1,K280/P280),"")</x:f>
        <x:v>1</x:v>
      </x:c>
      <x:c r="S280" s="2845" t="n">
        <x:f>IF(AND(ISNUMBER(K280),K280&gt;0,ISNUMBER(Q280),Q280&gt;0),MIN(1,K280/Q280),"")</x:f>
        <x:v>1</x:v>
      </x:c>
      <x:c r="T280" s="2845" t="n">
        <x:f>IF(AND(ISNUMBER(R280),ISNUMBER(S280)),MIN(R280,S280),"")</x:f>
        <x:v>1</x:v>
      </x:c>
      <x:c r="U280" s="2847" t="n">
        <x:f>IF(AND(ISNUMBER(M280),ISNUMBER(T280)),(M280-T280)*100,"")</x:f>
        <x:v>-36</x:v>
      </x:c>
      <x:c r="V280" s="2967" t="n">
        <x:v>265874</x:v>
      </x:c>
      <x:c r="W280" s="2845" t="n">
        <x:v>1.972</x:v>
      </x:c>
      <x:c r="X280" s="2845" t="n">
        <x:f>IF(AND(ISNUMBER(L280),ISNUMBER(V280),L280&gt;0,V280&gt;0),(L280-V280)/L280,"")</x:f>
        <x:v>0.35065734361376577</x:v>
      </x:c>
      <x:c r="Y280" s="2955" t="n">
        <x:f>IF(AND(ISNUMBER(L280),ISNUMBER(V280),L280&gt;0,V280&gt;0),L280/V280,"")</x:f>
        <x:v>1.5400189563477438</x:v>
      </x:c>
      <x:c r="Z280" s="2845" t="n">
        <x:f>IF(AND(ISNUMBER(C280),ISNUMBER(F280),C280&gt;0,F280&gt;0),1-F280/C280,"")</x:f>
        <x:v>0.5</x:v>
      </x:c>
      <x:c r="AA280" s="2931" t="inlineStr">
        <x:is>
          <x:t xml:space="preserve">PASS</x:t>
        </x:is>
      </x:c>
      <x:c r="AB280" s="2931" t="inlineStr">
        <x:is>
          <x:t xml:space="preserve">PASS</x:t>
        </x:is>
      </x:c>
      <x:c r="AC280" s="2855" t="inlineStr">
        <x:is>
          <x:t xml:space="preserve">本轮 model-main ae058a98 + 6参数(无SoC带宽/延迟) 2026-09-26</x:t>
        </x:is>
      </x:c>
    </x:row>
    <x:row r="281" ht="20" customHeight="1">
      <x:c r="A281" s="2841" t="inlineStr">
        <x:is>
          <x:t xml:space="preserve">FP16</x:t>
        </x:is>
      </x:c>
      <x:c r="B281" s="2967" t="n">
        <x:v>128</x:v>
      </x:c>
      <x:c r="C281" s="2967" t="n">
        <x:v>256</x:v>
      </x:c>
      <x:c r="D281" s="2967" t="n">
        <x:v>32768</x:v>
      </x:c>
      <x:c r="E281" s="2967" t="n">
        <x:v>128</x:v>
      </x:c>
      <x:c r="F281" s="2967" t="n">
        <x:v>128</x:v>
      </x:c>
      <x:c r="G281" s="2967" t="n">
        <x:v>256</x:v>
      </x:c>
      <x:c r="H281" s="2968" t="n">
        <x:v>64</x:v>
      </x:c>
      <x:c r="I281" s="2968" t="n">
        <x:v>64</x:v>
      </x:c>
      <x:c r="J281" s="2968" t="n">
        <x:v>128</x:v>
      </x:c>
      <x:c r="K281" s="2969" t="n">
        <x:v>128</x:v>
      </x:c>
      <x:c r="L281" s="2967" t="n">
        <x:v>435452</x:v>
      </x:c>
      <x:c r="M281" s="2845" t="n">
        <x:f>IF(AND(ISNUMBER(L281),L281&gt;0),ROUND(B281*C281*D281/4096/L281*100,1)/100,"")</x:f>
        <x:v>0.602</x:v>
      </x:c>
      <x:c r="N281" s="2967" t="n">
        <x:f>IF(OR(B281="",C281="",D281="",E281="",F281="",G281=""),"",ROUNDUP(B281/MIN(E281,128),0)*(C281/F281)*(D281/G281)*((MIN(B281,MIN(E281,128))+F281)*G281*2/1024))</x:f>
        <x:v>32768</x:v>
      </x:c>
      <x:c r="O281" s="2846" t="n">
        <x:f>IF(AND(ISNUMBER(N281),ISNUMBER(K281),K281&gt;0),N281*1024/K281,"")</x:f>
        <x:v>262144</x:v>
      </x:c>
      <x:c r="P281" s="2847" t="n">
        <x:f>IF(OR(E281="",F281="",G281=""),"",((H281+I281)*1024)/(E281*F281*G281/4096))</x:f>
        <x:v>128</x:v>
      </x:c>
      <x:c r="Q281" s="2847" t="n">
        <x:f>IF(OR(E281="",F281="",G281=""),"",(E281*F281*4)/(E281*F281*G281/4096))</x:f>
        <x:v>64</x:v>
      </x:c>
      <x:c r="R281" s="2845" t="n">
        <x:f>IF(AND(ISNUMBER(K281),K281&gt;0,ISNUMBER(P281),P281&gt;0),MIN(1,K281/P281),"")</x:f>
        <x:v>1</x:v>
      </x:c>
      <x:c r="S281" s="2845" t="n">
        <x:f>IF(AND(ISNUMBER(K281),K281&gt;0,ISNUMBER(Q281),Q281&gt;0),MIN(1,K281/Q281),"")</x:f>
        <x:v>1</x:v>
      </x:c>
      <x:c r="T281" s="2845" t="n">
        <x:f>IF(AND(ISNUMBER(R281),ISNUMBER(S281)),MIN(R281,S281),"")</x:f>
        <x:v>1</x:v>
      </x:c>
      <x:c r="U281" s="2847" t="n">
        <x:f>IF(AND(ISNUMBER(M281),ISNUMBER(T281)),(M281-T281)*100,"")</x:f>
        <x:v>-39.800000000000004</x:v>
      </x:c>
      <x:c r="V281" s="2967" t="n">
        <x:v>266572</x:v>
      </x:c>
      <x:c r="W281" s="2845" t="n">
        <x:v>1.967</x:v>
      </x:c>
      <x:c r="X281" s="2845" t="n">
        <x:f>IF(AND(ISNUMBER(L281),ISNUMBER(V281),L281&gt;0,V281&gt;0),(L281-V281)/L281,"")</x:f>
        <x:v>0.3878269017021394</x:v>
      </x:c>
      <x:c r="Y281" s="2955" t="n">
        <x:f>IF(AND(ISNUMBER(L281),ISNUMBER(V281),L281&gt;0,V281&gt;0),L281/V281,"")</x:f>
        <x:v>1.6335249013399757</x:v>
      </x:c>
      <x:c r="Z281" s="2845" t="n">
        <x:f>IF(AND(ISNUMBER(C281),ISNUMBER(F281),C281&gt;0,F281&gt;0),1-F281/C281,"")</x:f>
        <x:v>0.5</x:v>
      </x:c>
      <x:c r="AA281" s="2931" t="inlineStr">
        <x:is>
          <x:t xml:space="preserve">PASS</x:t>
        </x:is>
      </x:c>
      <x:c r="AB281" s="2931" t="inlineStr">
        <x:is>
          <x:t xml:space="preserve">PASS</x:t>
        </x:is>
      </x:c>
      <x:c r="AC281" s="2855" t="inlineStr">
        <x:is>
          <x:t xml:space="preserve">本轮 model-main ae058a98 + 6参数(无SoC带宽/延迟) 2026-09-26</x:t>
        </x:is>
      </x:c>
    </x:row>
    <x:row r="282" ht="20" customHeight="1">
      <x:c r="A282" s="2841" t="inlineStr">
        <x:is>
          <x:t xml:space="preserve">FP16</x:t>
        </x:is>
      </x:c>
      <x:c r="B282" s="2967" t="n">
        <x:v>128</x:v>
      </x:c>
      <x:c r="C282" s="2967" t="n">
        <x:v>256</x:v>
      </x:c>
      <x:c r="D282" s="2967" t="n">
        <x:v>32768</x:v>
      </x:c>
      <x:c r="E282" s="2967" t="n">
        <x:v>128</x:v>
      </x:c>
      <x:c r="F282" s="2967" t="n">
        <x:v>256</x:v>
      </x:c>
      <x:c r="G282" s="2967" t="n">
        <x:v>64</x:v>
      </x:c>
      <x:c r="H282" s="2968" t="n">
        <x:v>16</x:v>
      </x:c>
      <x:c r="I282" s="2968" t="n">
        <x:v>32</x:v>
      </x:c>
      <x:c r="J282" s="2968" t="n">
        <x:v>48</x:v>
      </x:c>
      <x:c r="K282" s="2969" t="n">
        <x:v>128</x:v>
      </x:c>
      <x:c r="L282" s="2967" t="n">
        <x:v>307066</x:v>
      </x:c>
      <x:c r="M282" s="2845" t="n">
        <x:f>IF(AND(ISNUMBER(L282),L282&gt;0),ROUND(B282*C282*D282/4096/L282*100,1)/100,"")</x:f>
        <x:v>0.8540000000000001</x:v>
      </x:c>
      <x:c r="N282" s="2967" t="n">
        <x:f>IF(OR(B282="",C282="",D282="",E282="",F282="",G282=""),"",ROUNDUP(B282/MIN(E282,128),0)*(C282/F282)*(D282/G282)*((MIN(B282,MIN(E282,128))+F282)*G282*2/1024))</x:f>
        <x:v>24576</x:v>
      </x:c>
      <x:c r="O282" s="2846" t="n">
        <x:f>IF(AND(ISNUMBER(N282),ISNUMBER(K282),K282&gt;0),N282*1024/K282,"")</x:f>
        <x:v>196608</x:v>
      </x:c>
      <x:c r="P282" s="2847" t="n">
        <x:f>IF(OR(E282="",F282="",G282=""),"",((H282+I282)*1024)/(E282*F282*G282/4096))</x:f>
        <x:v>96</x:v>
      </x:c>
      <x:c r="Q282" s="2847" t="n">
        <x:f>IF(OR(E282="",F282="",G282=""),"",(E282*F282*4)/(E282*F282*G282/4096))</x:f>
        <x:v>256</x:v>
      </x:c>
      <x:c r="R282" s="2845" t="n">
        <x:f>IF(AND(ISNUMBER(K282),K282&gt;0,ISNUMBER(P282),P282&gt;0),MIN(1,K282/P282),"")</x:f>
        <x:v>1</x:v>
      </x:c>
      <x:c r="S282" s="2845" t="n">
        <x:f>IF(AND(ISNUMBER(K282),K282&gt;0,ISNUMBER(Q282),Q282&gt;0),MIN(1,K282/Q282),"")</x:f>
        <x:v>0.5</x:v>
      </x:c>
      <x:c r="T282" s="2845" t="n">
        <x:f>IF(AND(ISNUMBER(R282),ISNUMBER(S282)),MIN(R282,S282),"")</x:f>
        <x:v>0.5</x:v>
      </x:c>
      <x:c r="U282" s="2847" t="n">
        <x:f>IF(AND(ISNUMBER(M282),ISNUMBER(T282)),(M282-T282)*100,"")</x:f>
        <x:v>35.400000000000006</x:v>
      </x:c>
      <x:c r="V282" s="2967" t="n">
        <x:v>308552</x:v>
      </x:c>
      <x:c r="W282" s="2845" t="n">
        <x:v>1.699</x:v>
      </x:c>
      <x:c r="X282" s="2845" t="n">
        <x:f>IF(AND(ISNUMBER(L282),ISNUMBER(V282),L282&gt;0,V282&gt;0),(L282-V282)/L282,"")</x:f>
        <x:v>-0.004839350497938554</x:v>
      </x:c>
      <x:c r="Y282" s="2955" t="n">
        <x:f>IF(AND(ISNUMBER(L282),ISNUMBER(V282),L282&gt;0,V282&gt;0),L282/V282,"")</x:f>
        <x:v>0.9951839560268609</x:v>
      </x:c>
      <x:c r="Z282" s="2845" t="n">
        <x:f>IF(AND(ISNUMBER(C282),ISNUMBER(F282),C282&gt;0,F282&gt;0),1-F282/C282,"")</x:f>
        <x:v>0</x:v>
      </x:c>
      <x:c r="AA282" s="2931" t="inlineStr">
        <x:is>
          <x:t xml:space="preserve">PASS</x:t>
        </x:is>
      </x:c>
      <x:c r="AB282" s="2931" t="inlineStr">
        <x:is>
          <x:t xml:space="preserve">PASS</x:t>
        </x:is>
      </x:c>
      <x:c r="AC282" s="2855" t="inlineStr">
        <x:is>
          <x:t xml:space="preserve">本轮 model-main ae058a98 + 6参数(无SoC带宽/延迟) 2026-09-26</x:t>
        </x:is>
      </x:c>
    </x:row>
    <x:row r="283" ht="20" customHeight="1">
      <x:c r="A283" s="2841" t="inlineStr">
        <x:is>
          <x:t xml:space="preserve">FP16</x:t>
        </x:is>
      </x:c>
      <x:c r="B283" s="2967" t="n">
        <x:v>128</x:v>
      </x:c>
      <x:c r="C283" s="2967" t="n">
        <x:v>256</x:v>
      </x:c>
      <x:c r="D283" s="2967" t="n">
        <x:v>32768</x:v>
      </x:c>
      <x:c r="E283" s="2967" t="n">
        <x:v>128</x:v>
      </x:c>
      <x:c r="F283" s="2967" t="n">
        <x:v>256</x:v>
      </x:c>
      <x:c r="G283" s="2967" t="n">
        <x:v>128</x:v>
      </x:c>
      <x:c r="H283" s="2968" t="n">
        <x:v>32</x:v>
      </x:c>
      <x:c r="I283" s="2968" t="n">
        <x:v>64</x:v>
      </x:c>
      <x:c r="J283" s="2968" t="n">
        <x:v>96</x:v>
      </x:c>
      <x:c r="K283" s="2969" t="n">
        <x:v>128</x:v>
      </x:c>
      <x:c r="L283" s="2967" t="n">
        <x:v>311652</x:v>
      </x:c>
      <x:c r="M283" s="2845" t="n">
        <x:f>IF(AND(ISNUMBER(L283),L283&gt;0),ROUND(B283*C283*D283/4096/L283*100,1)/100,"")</x:f>
        <x:v>0.841</x:v>
      </x:c>
      <x:c r="N283" s="2967" t="n">
        <x:f>IF(OR(B283="",C283="",D283="",E283="",F283="",G283=""),"",ROUNDUP(B283/MIN(E283,128),0)*(C283/F283)*(D283/G283)*((MIN(B283,MIN(E283,128))+F283)*G283*2/1024))</x:f>
        <x:v>24576</x:v>
      </x:c>
      <x:c r="O283" s="2846" t="n">
        <x:f>IF(AND(ISNUMBER(N283),ISNUMBER(K283),K283&gt;0),N283*1024/K283,"")</x:f>
        <x:v>196608</x:v>
      </x:c>
      <x:c r="P283" s="2847" t="n">
        <x:f>IF(OR(E283="",F283="",G283=""),"",((H283+I283)*1024)/(E283*F283*G283/4096))</x:f>
        <x:v>96</x:v>
      </x:c>
      <x:c r="Q283" s="2847" t="n">
        <x:f>IF(OR(E283="",F283="",G283=""),"",(E283*F283*4)/(E283*F283*G283/4096))</x:f>
        <x:v>128</x:v>
      </x:c>
      <x:c r="R283" s="2845" t="n">
        <x:f>IF(AND(ISNUMBER(K283),K283&gt;0,ISNUMBER(P283),P283&gt;0),MIN(1,K283/P283),"")</x:f>
        <x:v>1</x:v>
      </x:c>
      <x:c r="S283" s="2845" t="n">
        <x:f>IF(AND(ISNUMBER(K283),K283&gt;0,ISNUMBER(Q283),Q283&gt;0),MIN(1,K283/Q283),"")</x:f>
        <x:v>1</x:v>
      </x:c>
      <x:c r="T283" s="2845" t="n">
        <x:f>IF(AND(ISNUMBER(R283),ISNUMBER(S283)),MIN(R283,S283),"")</x:f>
        <x:v>1</x:v>
      </x:c>
      <x:c r="U283" s="2847" t="n">
        <x:f>IF(AND(ISNUMBER(M283),ISNUMBER(T283)),(M283-T283)*100,"")</x:f>
        <x:v>-15.900000000000002</x:v>
      </x:c>
      <x:c r="V283" s="2967" t="n">
        <x:v>286938</x:v>
      </x:c>
      <x:c r="W283" s="2845" t="n">
        <x:v>1.827</x:v>
      </x:c>
      <x:c r="X283" s="2845" t="n">
        <x:f>IF(AND(ISNUMBER(L283),ISNUMBER(V283),L283&gt;0,V283&gt;0),(L283-V283)/L283,"")</x:f>
        <x:v>0.07929998844865427</x:v>
      </x:c>
      <x:c r="Y283" s="2955" t="n">
        <x:f>IF(AND(ISNUMBER(L283),ISNUMBER(V283),L283&gt;0,V283&gt;0),L283/V283,"")</x:f>
        <x:v>1.0861301047613072</x:v>
      </x:c>
      <x:c r="Z283" s="2845" t="n">
        <x:f>IF(AND(ISNUMBER(C283),ISNUMBER(F283),C283&gt;0,F283&gt;0),1-F283/C283,"")</x:f>
        <x:v>0</x:v>
      </x:c>
      <x:c r="AA283" s="2931" t="inlineStr">
        <x:is>
          <x:t xml:space="preserve">PASS</x:t>
        </x:is>
      </x:c>
      <x:c r="AB283" s="2931" t="inlineStr">
        <x:is>
          <x:t xml:space="preserve">PASS</x:t>
        </x:is>
      </x:c>
      <x:c r="AC283" s="2855" t="inlineStr">
        <x:is>
          <x:t xml:space="preserve">本轮 model-main ae058a98 + 6参数(无SoC带宽/延迟) 2026-09-26</x:t>
        </x:is>
      </x:c>
    </x:row>
    <x:row r="284" ht="20" customHeight="1">
      <x:c r="A284" s="2841" t="inlineStr">
        <x:is>
          <x:t xml:space="preserve">FP16</x:t>
        </x:is>
      </x:c>
      <x:c r="B284" s="2967" t="n">
        <x:v>128</x:v>
      </x:c>
      <x:c r="C284" s="2967" t="n">
        <x:v>256</x:v>
      </x:c>
      <x:c r="D284" s="2967" t="n">
        <x:v>32768</x:v>
      </x:c>
      <x:c r="E284" s="2967" t="n">
        <x:v>128</x:v>
      </x:c>
      <x:c r="F284" s="2967" t="n">
        <x:v>256</x:v>
      </x:c>
      <x:c r="G284" s="2967" t="n">
        <x:v>256</x:v>
      </x:c>
      <x:c r="H284" s="2968" t="n">
        <x:v>64</x:v>
      </x:c>
      <x:c r="I284" s="2968" t="n">
        <x:v>128</x:v>
      </x:c>
      <x:c r="J284" s="2968" t="n">
        <x:v>192</x:v>
      </x:c>
      <x:c r="K284" s="2969" t="n">
        <x:v>128</x:v>
      </x:c>
      <x:c r="L284" s="2967" t="n">
        <x:v>563218</x:v>
      </x:c>
      <x:c r="M284" s="2845" t="n">
        <x:f>IF(AND(ISNUMBER(L284),L284&gt;0),ROUND(B284*C284*D284/4096/L284*100,1)/100,"")</x:f>
        <x:v>0.465</x:v>
      </x:c>
      <x:c r="N284" s="2967" t="n">
        <x:f>IF(OR(B284="",C284="",D284="",E284="",F284="",G284=""),"",ROUNDUP(B284/MIN(E284,128),0)*(C284/F284)*(D284/G284)*((MIN(B284,MIN(E284,128))+F284)*G284*2/1024))</x:f>
        <x:v>24576</x:v>
      </x:c>
      <x:c r="O284" s="2846" t="n">
        <x:f>IF(AND(ISNUMBER(N284),ISNUMBER(K284),K284&gt;0),N284*1024/K284,"")</x:f>
        <x:v>196608</x:v>
      </x:c>
      <x:c r="P284" s="2847" t="n">
        <x:f>IF(OR(E284="",F284="",G284=""),"",((H284+I284)*1024)/(E284*F284*G284/4096))</x:f>
        <x:v>96</x:v>
      </x:c>
      <x:c r="Q284" s="2847" t="n">
        <x:f>IF(OR(E284="",F284="",G284=""),"",(E284*F284*4)/(E284*F284*G284/4096))</x:f>
        <x:v>64</x:v>
      </x:c>
      <x:c r="R284" s="2845" t="n">
        <x:f>IF(AND(ISNUMBER(K284),K284&gt;0,ISNUMBER(P284),P284&gt;0),MIN(1,K284/P284),"")</x:f>
        <x:v>1</x:v>
      </x:c>
      <x:c r="S284" s="2845" t="n">
        <x:f>IF(AND(ISNUMBER(K284),K284&gt;0,ISNUMBER(Q284),Q284&gt;0),MIN(1,K284/Q284),"")</x:f>
        <x:v>1</x:v>
      </x:c>
      <x:c r="T284" s="2845" t="n">
        <x:f>IF(AND(ISNUMBER(R284),ISNUMBER(S284)),MIN(R284,S284),"")</x:f>
        <x:v>1</x:v>
      </x:c>
      <x:c r="U284" s="2847" t="n">
        <x:f>IF(AND(ISNUMBER(M284),ISNUMBER(T284)),(M284-T284)*100,"")</x:f>
        <x:v>-53.49999999999999</x:v>
      </x:c>
      <x:c r="V284" s="2967" t="n">
        <x:v>277688</x:v>
      </x:c>
      <x:c r="W284" s="2845" t="n">
        <x:v>1.888</x:v>
      </x:c>
      <x:c r="X284" s="2845" t="n">
        <x:f>IF(AND(ISNUMBER(L284),ISNUMBER(V284),L284&gt;0,V284&gt;0),(L284-V284)/L284,"")</x:f>
        <x:v>0.5069617803408272</x:v>
      </x:c>
      <x:c r="Y284" s="2955" t="n">
        <x:f>IF(AND(ISNUMBER(L284),ISNUMBER(V284),L284&gt;0,V284&gt;0),L284/V284,"")</x:f>
        <x:v>2.028240327273775</x:v>
      </x:c>
      <x:c r="Z284" s="2845" t="n">
        <x:f>IF(AND(ISNUMBER(C284),ISNUMBER(F284),C284&gt;0,F284&gt;0),1-F284/C284,"")</x:f>
        <x:v>0</x:v>
      </x:c>
      <x:c r="AA284" s="2931" t="inlineStr">
        <x:is>
          <x:t xml:space="preserve">PASS</x:t>
        </x:is>
      </x:c>
      <x:c r="AB284" s="2931" t="inlineStr">
        <x:is>
          <x:t xml:space="preserve">PASS</x:t>
        </x:is>
      </x:c>
      <x:c r="AC284" s="2855" t="inlineStr">
        <x:is>
          <x:t xml:space="preserve">本轮 model-main ae058a98 + 6参数(无SoC带宽/延迟) 2026-09-26</x:t>
        </x:is>
      </x:c>
    </x:row>
    <x:row r="285" ht="20" customHeight="1">
      <x:c r="A285" s="2822" t="inlineStr">
        <x:is>
          <x:t xml:space="preserve">FP8</x:t>
        </x:is>
      </x:c>
      <x:c r="B285" s="2964" t="n"/>
      <x:c r="C285" s="2964" t="n"/>
      <x:c r="D285" s="2964" t="n"/>
      <x:c r="E285" s="2964" t="n"/>
      <x:c r="F285" s="2964" t="n"/>
      <x:c r="G285" s="2964" t="n"/>
      <x:c r="H285" s="2965" t="n"/>
      <x:c r="I285" s="2965" t="n"/>
      <x:c r="J285" s="2965" t="n"/>
      <x:c r="K285" s="2966"/>
      <x:c r="L285" s="2964" t="n"/>
      <x:c r="M285" s="2826" t="str"/>
      <x:c r="N285" s="2964" t="str"/>
      <x:c r="O285" s="2827" t="str"/>
      <x:c r="P285" s="2828" t="str"/>
      <x:c r="Q285" s="2828" t="str"/>
      <x:c r="R285" s="2826" t="str"/>
      <x:c r="S285" s="2826" t="str"/>
      <x:c r="T285" s="2826" t="str"/>
      <x:c r="U285" s="2828" t="str"/>
      <x:c r="V285" s="2964" t="n"/>
      <x:c r="W285" s="2826" t="n"/>
      <x:c r="X285" s="2826" t="n"/>
      <x:c r="Y285" s="2954" t="n"/>
      <x:c r="Z285" s="2826" t="n"/>
      <x:c r="AA285" s="2822" t="n"/>
      <x:c r="AB285" s="2822" t="n"/>
      <x:c r="AC285" s="2822" t="n"/>
    </x:row>
    <x:row r="286" ht="20" customHeight="1">
      <x:c r="A286" s="2866" t="inlineStr">
        <x:is>
          <x:t xml:space="preserve">FP8</x:t>
        </x:is>
      </x:c>
      <x:c r="B286" s="2973" t="n">
        <x:v>128</x:v>
      </x:c>
      <x:c r="C286" s="2973" t="n">
        <x:v>256</x:v>
      </x:c>
      <x:c r="D286" s="2973" t="n">
        <x:v>32768</x:v>
      </x:c>
      <x:c r="E286" s="2973" t="n">
        <x:v>128</x:v>
      </x:c>
      <x:c r="F286" s="2973" t="n">
        <x:v>64</x:v>
      </x:c>
      <x:c r="G286" s="2973" t="n">
        <x:v>256</x:v>
      </x:c>
      <x:c r="H286" s="2974" t="n">
        <x:v>32</x:v>
      </x:c>
      <x:c r="I286" s="2974" t="n">
        <x:v>16</x:v>
      </x:c>
      <x:c r="J286" s="2974" t="n">
        <x:v>48</x:v>
      </x:c>
      <x:c r="K286" s="2975" t="n">
        <x:v>128</x:v>
      </x:c>
      <x:c r="L286" s="2973" t="n">
        <x:v>307183</x:v>
      </x:c>
      <x:c r="M286" s="2870" t="n">
        <x:f>IF(AND(ISNUMBER(L286),L286&gt;0),ROUND(B286*C286*D286/8192/L286*100,1)/100,"")</x:f>
        <x:v>0.42700000000000005</x:v>
      </x:c>
      <x:c r="N286" s="2973" t="n">
        <x:f>IF(OR(B286="",C286="",D286="",E286="",F286="",G286=""),"",ROUNDUP(B286/MIN(E286,128),0)*(C286/F286)*(D286/G286)*((MIN(B286,MIN(E286,128))+F286)*G286*1/1024))</x:f>
        <x:v>24576</x:v>
      </x:c>
      <x:c r="O286" s="2871" t="n">
        <x:f>IF(AND(ISNUMBER(N286),ISNUMBER(K286),K286&gt;0),N286*1024/K286,"")</x:f>
        <x:v>196608</x:v>
      </x:c>
      <x:c r="P286" s="2872" t="n">
        <x:f>IF(OR(E286="",F286="",G286=""),"",((H286+I286)*1024)/(E286*F286*G286/8192))</x:f>
        <x:v>192</x:v>
      </x:c>
      <x:c r="Q286" s="2872" t="n">
        <x:f>IF(OR(E286="",F286="",G286=""),"",(E286*F286*4)/(E286*F286*G286/8192))</x:f>
        <x:v>128</x:v>
      </x:c>
      <x:c r="R286" s="2870" t="n">
        <x:f>IF(AND(ISNUMBER(K286),K286&gt;0,ISNUMBER(P286),P286&gt;0),MIN(1,K286/P286),"")</x:f>
        <x:v>0.6666666666666666</x:v>
      </x:c>
      <x:c r="S286" s="2870" t="n">
        <x:f>IF(AND(ISNUMBER(K286),K286&gt;0,ISNUMBER(Q286),Q286&gt;0),MIN(1,K286/Q286),"")</x:f>
        <x:v>1</x:v>
      </x:c>
      <x:c r="T286" s="2870" t="n">
        <x:f>IF(AND(ISNUMBER(R286),ISNUMBER(S286)),MIN(R286,S286),"")</x:f>
        <x:v>0.6666666666666666</x:v>
      </x:c>
      <x:c r="U286" s="2872" t="n">
        <x:f>IF(AND(ISNUMBER(M286),ISNUMBER(T286)),(M286-T286)*100,"")</x:f>
        <x:v>-23.966666666666658</x:v>
      </x:c>
      <x:c r="V286" s="2973" t="n"/>
      <x:c r="W286" s="2870" t="n"/>
      <x:c r="X286" s="2870" t="n"/>
      <x:c r="Y286" s="2957" t="n"/>
      <x:c r="Z286" s="2870" t="n"/>
      <x:c r="AA286" s="2941" t="n"/>
      <x:c r="AB286" s="2933" t="inlineStr">
        <x:is>
          <x:t xml:space="preserve">PASS</x:t>
        </x:is>
      </x:c>
      <x:c r="AC286" s="2880" t="inlineStr">
        <x:is>
          <x:t xml:space="preserve">matmul_shared_lowp（FP8）；本轮 model-main ae058a98 + 6参数(无SoC带宽/延迟) 2026-09-26</x:t>
        </x:is>
      </x:c>
    </x:row>
    <x:row r="287" ht="20" customHeight="1">
      <x:c r="A287" s="2866" t="inlineStr">
        <x:is>
          <x:t xml:space="preserve">FP8</x:t>
        </x:is>
      </x:c>
      <x:c r="B287" s="2973" t="n">
        <x:v>128</x:v>
      </x:c>
      <x:c r="C287" s="2973" t="n">
        <x:v>256</x:v>
      </x:c>
      <x:c r="D287" s="2973" t="n">
        <x:v>32768</x:v>
      </x:c>
      <x:c r="E287" s="2973" t="n">
        <x:v>128</x:v>
      </x:c>
      <x:c r="F287" s="2973" t="n">
        <x:v>64</x:v>
      </x:c>
      <x:c r="G287" s="2973" t="n">
        <x:v>512</x:v>
      </x:c>
      <x:c r="H287" s="2974" t="n">
        <x:v>64</x:v>
      </x:c>
      <x:c r="I287" s="2974" t="n">
        <x:v>32</x:v>
      </x:c>
      <x:c r="J287" s="2974" t="n">
        <x:v>96</x:v>
      </x:c>
      <x:c r="K287" s="2975" t="n">
        <x:v>128</x:v>
      </x:c>
      <x:c r="L287" s="2973" t="n">
        <x:v>307403</x:v>
      </x:c>
      <x:c r="M287" s="2870" t="n">
        <x:f>IF(AND(ISNUMBER(L287),L287&gt;0),ROUND(B287*C287*D287/8192/L287*100,1)/100,"")</x:f>
        <x:v>0.426</x:v>
      </x:c>
      <x:c r="N287" s="2973" t="n">
        <x:f>IF(OR(B287="",C287="",D287="",E287="",F287="",G287=""),"",ROUNDUP(B287/MIN(E287,128),0)*(C287/F287)*(D287/G287)*((MIN(B287,MIN(E287,128))+F287)*G287*1/1024))</x:f>
        <x:v>24576</x:v>
      </x:c>
      <x:c r="O287" s="2871" t="n">
        <x:f>IF(AND(ISNUMBER(N287),ISNUMBER(K287),K287&gt;0),N287*1024/K287,"")</x:f>
        <x:v>196608</x:v>
      </x:c>
      <x:c r="P287" s="2872" t="n">
        <x:f>IF(OR(E287="",F287="",G287=""),"",((H287+I287)*1024)/(E287*F287*G287/8192))</x:f>
        <x:v>192</x:v>
      </x:c>
      <x:c r="Q287" s="2872" t="n">
        <x:f>IF(OR(E287="",F287="",G287=""),"",(E287*F287*4)/(E287*F287*G287/8192))</x:f>
        <x:v>64</x:v>
      </x:c>
      <x:c r="R287" s="2870" t="n">
        <x:f>IF(AND(ISNUMBER(K287),K287&gt;0,ISNUMBER(P287),P287&gt;0),MIN(1,K287/P287),"")</x:f>
        <x:v>0.6666666666666666</x:v>
      </x:c>
      <x:c r="S287" s="2870" t="n">
        <x:f>IF(AND(ISNUMBER(K287),K287&gt;0,ISNUMBER(Q287),Q287&gt;0),MIN(1,K287/Q287),"")</x:f>
        <x:v>1</x:v>
      </x:c>
      <x:c r="T287" s="2870" t="n">
        <x:f>IF(AND(ISNUMBER(R287),ISNUMBER(S287)),MIN(R287,S287),"")</x:f>
        <x:v>0.6666666666666666</x:v>
      </x:c>
      <x:c r="U287" s="2872" t="n">
        <x:f>IF(AND(ISNUMBER(M287),ISNUMBER(T287)),(M287-T287)*100,"")</x:f>
        <x:v>-24.066666666666663</x:v>
      </x:c>
      <x:c r="V287" s="2973" t="n"/>
      <x:c r="W287" s="2870" t="n"/>
      <x:c r="X287" s="2870" t="n"/>
      <x:c r="Y287" s="2957" t="n"/>
      <x:c r="Z287" s="2870" t="n"/>
      <x:c r="AA287" s="2941" t="n"/>
      <x:c r="AB287" s="2933" t="inlineStr">
        <x:is>
          <x:t xml:space="preserve">PASS</x:t>
        </x:is>
      </x:c>
      <x:c r="AC287" s="2880" t="inlineStr">
        <x:is>
          <x:t xml:space="preserve">matmul_shared_lowp（FP8）；本轮 model-main ae058a98 + 6参数(无SoC带宽/延迟) 2026-09-26</x:t>
        </x:is>
      </x:c>
    </x:row>
    <x:row r="288" ht="20" customHeight="1">
      <x:c r="A288" s="2866" t="inlineStr">
        <x:is>
          <x:t xml:space="preserve">FP8</x:t>
        </x:is>
      </x:c>
      <x:c r="B288" s="2973" t="n">
        <x:v>128</x:v>
      </x:c>
      <x:c r="C288" s="2973" t="n">
        <x:v>256</x:v>
      </x:c>
      <x:c r="D288" s="2973" t="n">
        <x:v>32768</x:v>
      </x:c>
      <x:c r="E288" s="2973" t="n">
        <x:v>128</x:v>
      </x:c>
      <x:c r="F288" s="2973" t="n">
        <x:v>64</x:v>
      </x:c>
      <x:c r="G288" s="2973" t="n">
        <x:v>1024</x:v>
      </x:c>
      <x:c r="H288" s="2974" t="n">
        <x:v>128</x:v>
      </x:c>
      <x:c r="I288" s="2974" t="n">
        <x:v>64</x:v>
      </x:c>
      <x:c r="J288" s="2974" t="n">
        <x:v>192</x:v>
      </x:c>
      <x:c r="K288" s="2975" t="n">
        <x:v>128</x:v>
      </x:c>
      <x:c r="L288" s="2973" t="n">
        <x:v>615932</x:v>
      </x:c>
      <x:c r="M288" s="2870" t="n">
        <x:f>IF(AND(ISNUMBER(L288),L288&gt;0),ROUND(B288*C288*D288/8192/L288*100,1)/100,"")</x:f>
        <x:v>0.213</x:v>
      </x:c>
      <x:c r="N288" s="2973" t="n">
        <x:f>IF(OR(B288="",C288="",D288="",E288="",F288="",G288=""),"",ROUNDUP(B288/MIN(E288,128),0)*(C288/F288)*(D288/G288)*((MIN(B288,MIN(E288,128))+F288)*G288*1/1024))</x:f>
        <x:v>24576</x:v>
      </x:c>
      <x:c r="O288" s="2871" t="n">
        <x:f>IF(AND(ISNUMBER(N288),ISNUMBER(K288),K288&gt;0),N288*1024/K288,"")</x:f>
        <x:v>196608</x:v>
      </x:c>
      <x:c r="P288" s="2872" t="n">
        <x:f>IF(OR(E288="",F288="",G288=""),"",((H288+I288)*1024)/(E288*F288*G288/8192))</x:f>
        <x:v>192</x:v>
      </x:c>
      <x:c r="Q288" s="2872" t="n">
        <x:f>IF(OR(E288="",F288="",G288=""),"",(E288*F288*4)/(E288*F288*G288/8192))</x:f>
        <x:v>32</x:v>
      </x:c>
      <x:c r="R288" s="2870" t="n">
        <x:f>IF(AND(ISNUMBER(K288),K288&gt;0,ISNUMBER(P288),P288&gt;0),MIN(1,K288/P288),"")</x:f>
        <x:v>0.6666666666666666</x:v>
      </x:c>
      <x:c r="S288" s="2870" t="n">
        <x:f>IF(AND(ISNUMBER(K288),K288&gt;0,ISNUMBER(Q288),Q288&gt;0),MIN(1,K288/Q288),"")</x:f>
        <x:v>1</x:v>
      </x:c>
      <x:c r="T288" s="2870" t="n">
        <x:f>IF(AND(ISNUMBER(R288),ISNUMBER(S288)),MIN(R288,S288),"")</x:f>
        <x:v>0.6666666666666666</x:v>
      </x:c>
      <x:c r="U288" s="2872" t="n">
        <x:f>IF(AND(ISNUMBER(M288),ISNUMBER(T288)),(M288-T288)*100,"")</x:f>
        <x:v>-45.36666666666667</x:v>
      </x:c>
      <x:c r="V288" s="2973" t="n"/>
      <x:c r="W288" s="2870" t="n"/>
      <x:c r="X288" s="2870" t="n"/>
      <x:c r="Y288" s="2957" t="n"/>
      <x:c r="Z288" s="2870" t="n"/>
      <x:c r="AA288" s="2941" t="n"/>
      <x:c r="AB288" s="2933" t="inlineStr">
        <x:is>
          <x:t xml:space="preserve">PASS</x:t>
        </x:is>
      </x:c>
      <x:c r="AC288" s="2880" t="inlineStr">
        <x:is>
          <x:t xml:space="preserve">matmul_shared_lowp（FP8）；本轮 model-main ae058a98 + 6参数(无SoC带宽/延迟) 2026-09-26</x:t>
        </x:is>
      </x:c>
    </x:row>
    <x:row r="289" ht="20" customHeight="1">
      <x:c r="A289" s="2866" t="inlineStr">
        <x:is>
          <x:t xml:space="preserve">FP8</x:t>
        </x:is>
      </x:c>
      <x:c r="B289" s="2973" t="n">
        <x:v>128</x:v>
      </x:c>
      <x:c r="C289" s="2973" t="n">
        <x:v>256</x:v>
      </x:c>
      <x:c r="D289" s="2973" t="n">
        <x:v>32768</x:v>
      </x:c>
      <x:c r="E289" s="2973" t="n">
        <x:v>128</x:v>
      </x:c>
      <x:c r="F289" s="2973" t="n">
        <x:v>128</x:v>
      </x:c>
      <x:c r="G289" s="2973" t="n">
        <x:v>256</x:v>
      </x:c>
      <x:c r="H289" s="2974" t="n">
        <x:v>32</x:v>
      </x:c>
      <x:c r="I289" s="2974" t="n">
        <x:v>32</x:v>
      </x:c>
      <x:c r="J289" s="2974" t="n">
        <x:v>64</x:v>
      </x:c>
      <x:c r="K289" s="2975" t="n">
        <x:v>128</x:v>
      </x:c>
      <x:c r="L289" s="2973" t="n">
        <x:v>205689</x:v>
      </x:c>
      <x:c r="M289" s="2870" t="n">
        <x:f>IF(AND(ISNUMBER(L289),L289&gt;0),ROUND(B289*C289*D289/8192/L289*100,1)/100,"")</x:f>
        <x:v>0.637</x:v>
      </x:c>
      <x:c r="N289" s="2973" t="n">
        <x:f>IF(OR(B289="",C289="",D289="",E289="",F289="",G289=""),"",ROUNDUP(B289/MIN(E289,128),0)*(C289/F289)*(D289/G289)*((MIN(B289,MIN(E289,128))+F289)*G289*1/1024))</x:f>
        <x:v>16384</x:v>
      </x:c>
      <x:c r="O289" s="2871" t="n">
        <x:f>IF(AND(ISNUMBER(N289),ISNUMBER(K289),K289&gt;0),N289*1024/K289,"")</x:f>
        <x:v>131072</x:v>
      </x:c>
      <x:c r="P289" s="2872" t="n">
        <x:f>IF(OR(E289="",F289="",G289=""),"",((H289+I289)*1024)/(E289*F289*G289/8192))</x:f>
        <x:v>128</x:v>
      </x:c>
      <x:c r="Q289" s="2872" t="n">
        <x:f>IF(OR(E289="",F289="",G289=""),"",(E289*F289*4)/(E289*F289*G289/8192))</x:f>
        <x:v>128</x:v>
      </x:c>
      <x:c r="R289" s="2870" t="n">
        <x:f>IF(AND(ISNUMBER(K289),K289&gt;0,ISNUMBER(P289),P289&gt;0),MIN(1,K289/P289),"")</x:f>
        <x:v>1</x:v>
      </x:c>
      <x:c r="S289" s="2870" t="n">
        <x:f>IF(AND(ISNUMBER(K289),K289&gt;0,ISNUMBER(Q289),Q289&gt;0),MIN(1,K289/Q289),"")</x:f>
        <x:v>1</x:v>
      </x:c>
      <x:c r="T289" s="2870" t="n">
        <x:f>IF(AND(ISNUMBER(R289),ISNUMBER(S289)),MIN(R289,S289),"")</x:f>
        <x:v>1</x:v>
      </x:c>
      <x:c r="U289" s="2872" t="n">
        <x:f>IF(AND(ISNUMBER(M289),ISNUMBER(T289)),(M289-T289)*100,"")</x:f>
        <x:v>-36.3</x:v>
      </x:c>
      <x:c r="V289" s="2973" t="n"/>
      <x:c r="W289" s="2870" t="n"/>
      <x:c r="X289" s="2870" t="n"/>
      <x:c r="Y289" s="2957" t="n"/>
      <x:c r="Z289" s="2870" t="n"/>
      <x:c r="AA289" s="2941" t="n"/>
      <x:c r="AB289" s="2933" t="inlineStr">
        <x:is>
          <x:t xml:space="preserve">PASS</x:t>
        </x:is>
      </x:c>
      <x:c r="AC289" s="2880" t="inlineStr">
        <x:is>
          <x:t xml:space="preserve">matmul_shared_lowp（FP8）；本轮 model-main ae058a98 + 6参数(无SoC带宽/延迟) 2026-09-26</x:t>
        </x:is>
      </x:c>
    </x:row>
    <x:row r="290" ht="20" customHeight="1">
      <x:c r="A290" s="2866" t="inlineStr">
        <x:is>
          <x:t xml:space="preserve">FP8</x:t>
        </x:is>
      </x:c>
      <x:c r="B290" s="2973" t="n">
        <x:v>128</x:v>
      </x:c>
      <x:c r="C290" s="2973" t="n">
        <x:v>256</x:v>
      </x:c>
      <x:c r="D290" s="2973" t="n">
        <x:v>32768</x:v>
      </x:c>
      <x:c r="E290" s="2973" t="n">
        <x:v>128</x:v>
      </x:c>
      <x:c r="F290" s="2973" t="n">
        <x:v>128</x:v>
      </x:c>
      <x:c r="G290" s="2973" t="n">
        <x:v>512</x:v>
      </x:c>
      <x:c r="H290" s="2974" t="n">
        <x:v>64</x:v>
      </x:c>
      <x:c r="I290" s="2974" t="n">
        <x:v>64</x:v>
      </x:c>
      <x:c r="J290" s="2974" t="n">
        <x:v>128</x:v>
      </x:c>
      <x:c r="K290" s="2975" t="n">
        <x:v>128</x:v>
      </x:c>
      <x:c r="L290" s="2973" t="n">
        <x:v>218430</x:v>
      </x:c>
      <x:c r="M290" s="2870" t="n">
        <x:f>IF(AND(ISNUMBER(L290),L290&gt;0),ROUND(B290*C290*D290/8192/L290*100,1)/100,"")</x:f>
        <x:v>0.6</x:v>
      </x:c>
      <x:c r="N290" s="2973" t="n">
        <x:f>IF(OR(B290="",C290="",D290="",E290="",F290="",G290=""),"",ROUNDUP(B290/MIN(E290,128),0)*(C290/F290)*(D290/G290)*((MIN(B290,MIN(E290,128))+F290)*G290*1/1024))</x:f>
        <x:v>16384</x:v>
      </x:c>
      <x:c r="O290" s="2871" t="n">
        <x:f>IF(AND(ISNUMBER(N290),ISNUMBER(K290),K290&gt;0),N290*1024/K290,"")</x:f>
        <x:v>131072</x:v>
      </x:c>
      <x:c r="P290" s="2872" t="n">
        <x:f>IF(OR(E290="",F290="",G290=""),"",((H290+I290)*1024)/(E290*F290*G290/8192))</x:f>
        <x:v>128</x:v>
      </x:c>
      <x:c r="Q290" s="2872" t="n">
        <x:f>IF(OR(E290="",F290="",G290=""),"",(E290*F290*4)/(E290*F290*G290/8192))</x:f>
        <x:v>64</x:v>
      </x:c>
      <x:c r="R290" s="2870" t="n">
        <x:f>IF(AND(ISNUMBER(K290),K290&gt;0,ISNUMBER(P290),P290&gt;0),MIN(1,K290/P290),"")</x:f>
        <x:v>1</x:v>
      </x:c>
      <x:c r="S290" s="2870" t="n">
        <x:f>IF(AND(ISNUMBER(K290),K290&gt;0,ISNUMBER(Q290),Q290&gt;0),MIN(1,K290/Q290),"")</x:f>
        <x:v>1</x:v>
      </x:c>
      <x:c r="T290" s="2870" t="n">
        <x:f>IF(AND(ISNUMBER(R290),ISNUMBER(S290)),MIN(R290,S290),"")</x:f>
        <x:v>1</x:v>
      </x:c>
      <x:c r="U290" s="2872" t="n">
        <x:f>IF(AND(ISNUMBER(M290),ISNUMBER(T290)),(M290-T290)*100,"")</x:f>
        <x:v>-40</x:v>
      </x:c>
      <x:c r="V290" s="2973" t="n"/>
      <x:c r="W290" s="2870" t="n"/>
      <x:c r="X290" s="2870" t="n"/>
      <x:c r="Y290" s="2957" t="n"/>
      <x:c r="Z290" s="2870" t="n"/>
      <x:c r="AA290" s="2941" t="n"/>
      <x:c r="AB290" s="2933" t="inlineStr">
        <x:is>
          <x:t xml:space="preserve">PASS</x:t>
        </x:is>
      </x:c>
      <x:c r="AC290" s="2880" t="inlineStr">
        <x:is>
          <x:t xml:space="preserve">matmul_shared_lowp（FP8）；本轮 model-main ae058a98 + 6参数(无SoC带宽/延迟) 2026-09-26</x:t>
        </x:is>
      </x:c>
    </x:row>
    <x:row r="291" ht="20" customHeight="1">
      <x:c r="A291" s="2866" t="inlineStr">
        <x:is>
          <x:t xml:space="preserve">FP8</x:t>
        </x:is>
      </x:c>
      <x:c r="B291" s="2973" t="n">
        <x:v>128</x:v>
      </x:c>
      <x:c r="C291" s="2973" t="n">
        <x:v>256</x:v>
      </x:c>
      <x:c r="D291" s="2973" t="n">
        <x:v>32768</x:v>
      </x:c>
      <x:c r="E291" s="2973" t="n">
        <x:v>128</x:v>
      </x:c>
      <x:c r="F291" s="2973" t="n">
        <x:v>128</x:v>
      </x:c>
      <x:c r="G291" s="2973" t="n">
        <x:v>1024</x:v>
      </x:c>
      <x:c r="H291" s="2974" t="n">
        <x:v>128</x:v>
      </x:c>
      <x:c r="I291" s="2974" t="n">
        <x:v>128</x:v>
      </x:c>
      <x:c r="J291" s="2974" t="n">
        <x:v>256</x:v>
      </x:c>
      <x:c r="K291" s="2975" t="n">
        <x:v>128</x:v>
      </x:c>
      <x:c r="L291" s="2973" t="n">
        <x:v>424537</x:v>
      </x:c>
      <x:c r="M291" s="2870" t="n">
        <x:f>IF(AND(ISNUMBER(L291),L291&gt;0),ROUND(B291*C291*D291/8192/L291*100,1)/100,"")</x:f>
        <x:v>0.309</x:v>
      </x:c>
      <x:c r="N291" s="2973" t="n">
        <x:f>IF(OR(B291="",C291="",D291="",E291="",F291="",G291=""),"",ROUNDUP(B291/MIN(E291,128),0)*(C291/F291)*(D291/G291)*((MIN(B291,MIN(E291,128))+F291)*G291*1/1024))</x:f>
        <x:v>16384</x:v>
      </x:c>
      <x:c r="O291" s="2871" t="n">
        <x:f>IF(AND(ISNUMBER(N291),ISNUMBER(K291),K291&gt;0),N291*1024/K291,"")</x:f>
        <x:v>131072</x:v>
      </x:c>
      <x:c r="P291" s="2872" t="n">
        <x:f>IF(OR(E291="",F291="",G291=""),"",((H291+I291)*1024)/(E291*F291*G291/8192))</x:f>
        <x:v>128</x:v>
      </x:c>
      <x:c r="Q291" s="2872" t="n">
        <x:f>IF(OR(E291="",F291="",G291=""),"",(E291*F291*4)/(E291*F291*G291/8192))</x:f>
        <x:v>32</x:v>
      </x:c>
      <x:c r="R291" s="2870" t="n">
        <x:f>IF(AND(ISNUMBER(K291),K291&gt;0,ISNUMBER(P291),P291&gt;0),MIN(1,K291/P291),"")</x:f>
        <x:v>1</x:v>
      </x:c>
      <x:c r="S291" s="2870" t="n">
        <x:f>IF(AND(ISNUMBER(K291),K291&gt;0,ISNUMBER(Q291),Q291&gt;0),MIN(1,K291/Q291),"")</x:f>
        <x:v>1</x:v>
      </x:c>
      <x:c r="T291" s="2870" t="n">
        <x:f>IF(AND(ISNUMBER(R291),ISNUMBER(S291)),MIN(R291,S291),"")</x:f>
        <x:v>1</x:v>
      </x:c>
      <x:c r="U291" s="2872" t="n">
        <x:f>IF(AND(ISNUMBER(M291),ISNUMBER(T291)),(M291-T291)*100,"")</x:f>
        <x:v>-69.10000000000001</x:v>
      </x:c>
      <x:c r="V291" s="2973" t="n"/>
      <x:c r="W291" s="2870" t="n"/>
      <x:c r="X291" s="2870" t="n"/>
      <x:c r="Y291" s="2957" t="n"/>
      <x:c r="Z291" s="2870" t="n"/>
      <x:c r="AA291" s="2941" t="n"/>
      <x:c r="AB291" s="2933" t="inlineStr">
        <x:is>
          <x:t xml:space="preserve">PASS</x:t>
        </x:is>
      </x:c>
      <x:c r="AC291" s="2880" t="inlineStr">
        <x:is>
          <x:t xml:space="preserve">matmul_shared_lowp（FP8）；本轮 model-main ae058a98 + 6参数(无SoC带宽/延迟) 2026-09-26</x:t>
        </x:is>
      </x:c>
    </x:row>
    <x:row r="292" ht="20" customHeight="1">
      <x:c r="A292" s="2866" t="inlineStr">
        <x:is>
          <x:t xml:space="preserve">FP8</x:t>
        </x:is>
      </x:c>
      <x:c r="B292" s="2973" t="n">
        <x:v>128</x:v>
      </x:c>
      <x:c r="C292" s="2973" t="n">
        <x:v>256</x:v>
      </x:c>
      <x:c r="D292" s="2973" t="n">
        <x:v>32768</x:v>
      </x:c>
      <x:c r="E292" s="2973" t="n">
        <x:v>128</x:v>
      </x:c>
      <x:c r="F292" s="2973" t="n">
        <x:v>256</x:v>
      </x:c>
      <x:c r="G292" s="2973" t="n">
        <x:v>256</x:v>
      </x:c>
      <x:c r="H292" s="2974" t="n">
        <x:v>32</x:v>
      </x:c>
      <x:c r="I292" s="2974" t="n">
        <x:v>64</x:v>
      </x:c>
      <x:c r="J292" s="2974" t="n">
        <x:v>96</x:v>
      </x:c>
      <x:c r="K292" s="2975" t="n">
        <x:v>128</x:v>
      </x:c>
      <x:c r="L292" s="2973" t="n">
        <x:v>157115</x:v>
      </x:c>
      <x:c r="M292" s="2870" t="n">
        <x:f>IF(AND(ISNUMBER(L292),L292&gt;0),ROUND(B292*C292*D292/8192/L292*100,1)/100,"")</x:f>
        <x:v>0.8340000000000001</x:v>
      </x:c>
      <x:c r="N292" s="2973" t="n">
        <x:f>IF(OR(B292="",C292="",D292="",E292="",F292="",G292=""),"",ROUNDUP(B292/MIN(E292,128),0)*(C292/F292)*(D292/G292)*((MIN(B292,MIN(E292,128))+F292)*G292*1/1024))</x:f>
        <x:v>12288</x:v>
      </x:c>
      <x:c r="O292" s="2871" t="n">
        <x:f>IF(AND(ISNUMBER(N292),ISNUMBER(K292),K292&gt;0),N292*1024/K292,"")</x:f>
        <x:v>98304</x:v>
      </x:c>
      <x:c r="P292" s="2872" t="n">
        <x:f>IF(OR(E292="",F292="",G292=""),"",((H292+I292)*1024)/(E292*F292*G292/8192))</x:f>
        <x:v>96</x:v>
      </x:c>
      <x:c r="Q292" s="2872" t="n">
        <x:f>IF(OR(E292="",F292="",G292=""),"",(E292*F292*4)/(E292*F292*G292/8192))</x:f>
        <x:v>128</x:v>
      </x:c>
      <x:c r="R292" s="2870" t="n">
        <x:f>IF(AND(ISNUMBER(K292),K292&gt;0,ISNUMBER(P292),P292&gt;0),MIN(1,K292/P292),"")</x:f>
        <x:v>1</x:v>
      </x:c>
      <x:c r="S292" s="2870" t="n">
        <x:f>IF(AND(ISNUMBER(K292),K292&gt;0,ISNUMBER(Q292),Q292&gt;0),MIN(1,K292/Q292),"")</x:f>
        <x:v>1</x:v>
      </x:c>
      <x:c r="T292" s="2870" t="n">
        <x:f>IF(AND(ISNUMBER(R292),ISNUMBER(S292)),MIN(R292,S292),"")</x:f>
        <x:v>1</x:v>
      </x:c>
      <x:c r="U292" s="2872" t="n">
        <x:f>IF(AND(ISNUMBER(M292),ISNUMBER(T292)),(M292-T292)*100,"")</x:f>
        <x:v>-16.599999999999994</x:v>
      </x:c>
      <x:c r="V292" s="2973" t="n"/>
      <x:c r="W292" s="2870" t="n"/>
      <x:c r="X292" s="2870" t="n"/>
      <x:c r="Y292" s="2957" t="n"/>
      <x:c r="Z292" s="2870" t="n"/>
      <x:c r="AA292" s="2941" t="n"/>
      <x:c r="AB292" s="2933" t="inlineStr">
        <x:is>
          <x:t xml:space="preserve">PASS</x:t>
        </x:is>
      </x:c>
      <x:c r="AC292" s="2880" t="inlineStr">
        <x:is>
          <x:t xml:space="preserve">matmul_shared_lowp（FP8）；本轮 model-main ae058a98 + 6参数(无SoC带宽/延迟) 2026-09-26</x:t>
        </x:is>
      </x:c>
    </x:row>
    <x:row r="293" ht="20" customHeight="1">
      <x:c r="A293" s="2866" t="inlineStr">
        <x:is>
          <x:t xml:space="preserve">FP8</x:t>
        </x:is>
      </x:c>
      <x:c r="B293" s="2973" t="n">
        <x:v>128</x:v>
      </x:c>
      <x:c r="C293" s="2973" t="n">
        <x:v>256</x:v>
      </x:c>
      <x:c r="D293" s="2973" t="n">
        <x:v>32768</x:v>
      </x:c>
      <x:c r="E293" s="2973" t="n">
        <x:v>128</x:v>
      </x:c>
      <x:c r="F293" s="2973" t="n">
        <x:v>256</x:v>
      </x:c>
      <x:c r="G293" s="2973" t="n">
        <x:v>512</x:v>
      </x:c>
      <x:c r="H293" s="2974" t="n">
        <x:v>64</x:v>
      </x:c>
      <x:c r="I293" s="2974" t="n">
        <x:v>128</x:v>
      </x:c>
      <x:c r="J293" s="2974" t="n">
        <x:v>192</x:v>
      </x:c>
      <x:c r="K293" s="2975" t="n">
        <x:v>128</x:v>
      </x:c>
      <x:c r="L293" s="2973" t="n">
        <x:v>282224</x:v>
      </x:c>
      <x:c r="M293" s="2870" t="n">
        <x:f>IF(AND(ISNUMBER(L293),L293&gt;0),ROUND(B293*C293*D293/8192/L293*100,1)/100,"")</x:f>
        <x:v>0.46399999999999997</x:v>
      </x:c>
      <x:c r="N293" s="2973" t="n">
        <x:f>IF(OR(B293="",C293="",D293="",E293="",F293="",G293=""),"",ROUNDUP(B293/MIN(E293,128),0)*(C293/F293)*(D293/G293)*((MIN(B293,MIN(E293,128))+F293)*G293*1/1024))</x:f>
        <x:v>12288</x:v>
      </x:c>
      <x:c r="O293" s="2871" t="n">
        <x:f>IF(AND(ISNUMBER(N293),ISNUMBER(K293),K293&gt;0),N293*1024/K293,"")</x:f>
        <x:v>98304</x:v>
      </x:c>
      <x:c r="P293" s="2872" t="n">
        <x:f>IF(OR(E293="",F293="",G293=""),"",((H293+I293)*1024)/(E293*F293*G293/8192))</x:f>
        <x:v>96</x:v>
      </x:c>
      <x:c r="Q293" s="2872" t="n">
        <x:f>IF(OR(E293="",F293="",G293=""),"",(E293*F293*4)/(E293*F293*G293/8192))</x:f>
        <x:v>64</x:v>
      </x:c>
      <x:c r="R293" s="2870" t="n">
        <x:f>IF(AND(ISNUMBER(K293),K293&gt;0,ISNUMBER(P293),P293&gt;0),MIN(1,K293/P293),"")</x:f>
        <x:v>1</x:v>
      </x:c>
      <x:c r="S293" s="2870" t="n">
        <x:f>IF(AND(ISNUMBER(K293),K293&gt;0,ISNUMBER(Q293),Q293&gt;0),MIN(1,K293/Q293),"")</x:f>
        <x:v>1</x:v>
      </x:c>
      <x:c r="T293" s="2870" t="n">
        <x:f>IF(AND(ISNUMBER(R293),ISNUMBER(S293)),MIN(R293,S293),"")</x:f>
        <x:v>1</x:v>
      </x:c>
      <x:c r="U293" s="2872" t="n">
        <x:f>IF(AND(ISNUMBER(M293),ISNUMBER(T293)),(M293-T293)*100,"")</x:f>
        <x:v>-53.6</x:v>
      </x:c>
      <x:c r="V293" s="2973" t="n"/>
      <x:c r="W293" s="2870" t="n"/>
      <x:c r="X293" s="2870" t="n"/>
      <x:c r="Y293" s="2957" t="n"/>
      <x:c r="Z293" s="2870" t="n"/>
      <x:c r="AA293" s="2941" t="n"/>
      <x:c r="AB293" s="2933" t="inlineStr">
        <x:is>
          <x:t xml:space="preserve">PASS</x:t>
        </x:is>
      </x:c>
      <x:c r="AC293" s="2880" t="inlineStr">
        <x:is>
          <x:t xml:space="preserve">matmul_shared_lowp（FP8）；本轮 model-main ae058a98 + 6参数(无SoC带宽/延迟) 2026-09-26</x:t>
        </x:is>
      </x:c>
    </x:row>
    <x:row r="294" ht="20" customHeight="1">
      <x:c r="A294" s="2866" t="inlineStr">
        <x:is>
          <x:t xml:space="preserve">FP8</x:t>
        </x:is>
      </x:c>
      <x:c r="B294" s="2973" t="n">
        <x:v>128</x:v>
      </x:c>
      <x:c r="C294" s="2973" t="n">
        <x:v>256</x:v>
      </x:c>
      <x:c r="D294" s="2973" t="n">
        <x:v>32768</x:v>
      </x:c>
      <x:c r="E294" s="2973" t="n">
        <x:v>128</x:v>
      </x:c>
      <x:c r="F294" s="2973" t="n">
        <x:v>256</x:v>
      </x:c>
      <x:c r="G294" s="2973" t="n">
        <x:v>1024</x:v>
      </x:c>
      <x:c r="H294" s="2974" t="n">
        <x:v>128</x:v>
      </x:c>
      <x:c r="I294" s="2974" t="n">
        <x:v>256</x:v>
      </x:c>
      <x:c r="J294" s="2974" t="n">
        <x:v>384</x:v>
      </x:c>
      <x:c r="K294" s="2975" t="n">
        <x:v>128</x:v>
      </x:c>
      <x:c r="L294" s="2973" t="inlineStr">
        <x:is>
          <x:t xml:space="preserve">—</x:t>
        </x:is>
      </x:c>
      <x:c r="M294" s="2870" t="str">
        <x:f>IF(AND(ISNUMBER(L294),L294&gt;0),ROUND(B294*C294*D294/8192/L294*100,1)/100,"")</x:f>
      </x:c>
      <x:c r="N294" s="2973" t="n">
        <x:f>IF(OR(B294="",C294="",D294="",E294="",F294="",G294=""),"",ROUNDUP(B294/MIN(E294,128),0)*(C294/F294)*(D294/G294)*((MIN(B294,MIN(E294,128))+F294)*G294*1/1024))</x:f>
        <x:v>12288</x:v>
      </x:c>
      <x:c r="O294" s="2871" t="n">
        <x:f>IF(AND(ISNUMBER(N294),ISNUMBER(K294),K294&gt;0),N294*1024/K294,"")</x:f>
        <x:v>98304</x:v>
      </x:c>
      <x:c r="P294" s="2872" t="n">
        <x:f>IF(OR(E294="",F294="",G294=""),"",((H294+I294)*1024)/(E294*F294*G294/8192))</x:f>
        <x:v>96</x:v>
      </x:c>
      <x:c r="Q294" s="2872" t="n">
        <x:f>IF(OR(E294="",F294="",G294=""),"",(E294*F294*4)/(E294*F294*G294/8192))</x:f>
        <x:v>32</x:v>
      </x:c>
      <x:c r="R294" s="2870" t="n">
        <x:f>IF(AND(ISNUMBER(K294),K294&gt;0,ISNUMBER(P294),P294&gt;0),MIN(1,K294/P294),"")</x:f>
        <x:v>1</x:v>
      </x:c>
      <x:c r="S294" s="2870" t="n">
        <x:f>IF(AND(ISNUMBER(K294),K294&gt;0,ISNUMBER(Q294),Q294&gt;0),MIN(1,K294/Q294),"")</x:f>
        <x:v>1</x:v>
      </x:c>
      <x:c r="T294" s="2870" t="n">
        <x:f>IF(AND(ISNUMBER(R294),ISNUMBER(S294)),MIN(R294,S294),"")</x:f>
        <x:v>1</x:v>
      </x:c>
      <x:c r="U294" s="2872" t="str">
        <x:f>IF(AND(ISNUMBER(M294),ISNUMBER(T294)),(M294-T294)*100,"")</x:f>
      </x:c>
      <x:c r="V294" s="2973" t="n"/>
      <x:c r="W294" s="2870" t="n"/>
      <x:c r="X294" s="2870" t="n"/>
      <x:c r="Y294" s="2957" t="n"/>
      <x:c r="Z294" s="2870" t="n"/>
      <x:c r="AA294" s="2941" t="n"/>
      <x:c r="AB294" s="2934" t="inlineStr">
        <x:is>
          <x:t xml:space="preserve">COMPILE_FAIL</x:t>
        </x:is>
      </x:c>
      <x:c r="AC294" s="2880" t="inlineStr">
        <x:is>
          <x:t xml:space="preserve">容量超限：完整 SharedTile 足迹 &gt; 256 KiB；本轮 model-main 9b3a4405 + 8参数(256KB ShareTReg) 2026-09-22</x:t>
        </x:is>
      </x:c>
    </x:row>
    <x:row r="295" ht="20" customHeight="1">
      <x:c r="A295" s="2822" t="inlineStr">
        <x:is>
          <x:t xml:space="preserve">MXFP8</x:t>
        </x:is>
      </x:c>
      <x:c r="B295" s="2964" t="n"/>
      <x:c r="C295" s="2964" t="n"/>
      <x:c r="D295" s="2964" t="n"/>
      <x:c r="E295" s="2964" t="n"/>
      <x:c r="F295" s="2964" t="n"/>
      <x:c r="G295" s="2964" t="n"/>
      <x:c r="H295" s="2965" t="n"/>
      <x:c r="I295" s="2965" t="n"/>
      <x:c r="J295" s="2965" t="n"/>
      <x:c r="K295" s="2966"/>
      <x:c r="L295" s="2964" t="n"/>
      <x:c r="M295" s="2826" t="str"/>
      <x:c r="N295" s="2964" t="str"/>
      <x:c r="O295" s="2827" t="str"/>
      <x:c r="P295" s="2828" t="str"/>
      <x:c r="Q295" s="2828" t="str"/>
      <x:c r="R295" s="2826" t="str"/>
      <x:c r="S295" s="2826" t="str"/>
      <x:c r="T295" s="2826" t="str"/>
      <x:c r="U295" s="2828" t="str"/>
      <x:c r="V295" s="2964" t="n"/>
      <x:c r="W295" s="2826" t="n"/>
      <x:c r="X295" s="2826" t="n"/>
      <x:c r="Y295" s="2954" t="n"/>
      <x:c r="Z295" s="2826" t="n"/>
      <x:c r="AA295" s="2822" t="n"/>
      <x:c r="AB295" s="2822" t="n"/>
      <x:c r="AC295" s="2822" t="n"/>
    </x:row>
    <x:row r="296" ht="20" customHeight="1">
      <x:c r="A296" s="2891" t="inlineStr">
        <x:is>
          <x:t xml:space="preserve">MXFP8</x:t>
        </x:is>
      </x:c>
      <x:c r="B296" s="2976" t="n">
        <x:v>128</x:v>
      </x:c>
      <x:c r="C296" s="2976" t="n">
        <x:v>256</x:v>
      </x:c>
      <x:c r="D296" s="2976" t="n">
        <x:v>32768</x:v>
      </x:c>
      <x:c r="E296" s="2976" t="n">
        <x:v>128</x:v>
      </x:c>
      <x:c r="F296" s="2976" t="n">
        <x:v>64</x:v>
      </x:c>
      <x:c r="G296" s="2976" t="n">
        <x:v>256</x:v>
      </x:c>
      <x:c r="H296" s="2977" t="n">
        <x:v>36</x:v>
      </x:c>
      <x:c r="I296" s="2977" t="n">
        <x:v>18</x:v>
      </x:c>
      <x:c r="J296" s="2977" t="n">
        <x:v>54</x:v>
      </x:c>
      <x:c r="K296" s="2978" t="n">
        <x:v>128</x:v>
      </x:c>
      <x:c r="L296" s="2976" t="n">
        <x:v>459127</x:v>
      </x:c>
      <x:c r="M296" s="2895" t="n">
        <x:f>IF(AND(ISNUMBER(L296),L296&gt;0),ROUND(B296*C296*D296/8192/L296*100,1)/100,"")</x:f>
        <x:v>0.285</x:v>
      </x:c>
      <x:c r="N296" s="2976" t="n">
        <x:f>IF(OR(B296="",C296="",D296="",E296="",F296="",G296=""),"",ROUNDUP(B296/MIN(E296,128),0)*(C296/F296)*(D296/G296)*((MIN(B296,MIN(E296,128))+F296)*G296*(33/32)/1024))</x:f>
        <x:v>25344</x:v>
      </x:c>
      <x:c r="O296" s="2896" t="n">
        <x:f>IF(AND(ISNUMBER(N296),ISNUMBER(K296),K296&gt;0),N296*1024/K296,"")</x:f>
        <x:v>202752</x:v>
      </x:c>
      <x:c r="P296" s="2897" t="n">
        <x:f>IF(OR(E296="",F296="",G296=""),"",((H296+I296)*1024)/(E296*F296*G296/8192))</x:f>
        <x:v>216</x:v>
      </x:c>
      <x:c r="Q296" s="2897" t="n">
        <x:f>IF(OR(E296="",F296="",G296=""),"",(E296*F296*4)/(E296*F296*G296/8192))</x:f>
        <x:v>128</x:v>
      </x:c>
      <x:c r="R296" s="2895" t="n">
        <x:f>IF(AND(ISNUMBER(K296),K296&gt;0,ISNUMBER(P296),P296&gt;0),MIN(1,K296/P296),"")</x:f>
        <x:v>0.5925925925925926</x:v>
      </x:c>
      <x:c r="S296" s="2895" t="n">
        <x:f>IF(AND(ISNUMBER(K296),K296&gt;0,ISNUMBER(Q296),Q296&gt;0),MIN(1,K296/Q296),"")</x:f>
        <x:v>1</x:v>
      </x:c>
      <x:c r="T296" s="2895" t="n">
        <x:f>IF(AND(ISNUMBER(R296),ISNUMBER(S296)),MIN(R296,S296),"")</x:f>
        <x:v>0.5925925925925926</x:v>
      </x:c>
      <x:c r="U296" s="2897" t="n">
        <x:f>IF(AND(ISNUMBER(M296),ISNUMBER(T296)),(M296-T296)*100,"")</x:f>
        <x:v>-30.75925925925926</x:v>
      </x:c>
      <x:c r="V296" s="2976" t="n"/>
      <x:c r="W296" s="2895" t="n"/>
      <x:c r="X296" s="2895" t="n"/>
      <x:c r="Y296" s="2958" t="n"/>
      <x:c r="Z296" s="2895" t="n"/>
      <x:c r="AA296" s="2942" t="n"/>
      <x:c r="AB296" s="2935" t="inlineStr">
        <x:is>
          <x:t xml:space="preserve">PASS</x:t>
        </x:is>
      </x:c>
      <x:c r="AC296" s="2905" t="inlineStr">
        <x:is>
          <x:t xml:space="preserve">matmul_shared_lowp（MXFP8）；本轮 model-main ae058a98 + 6参数(无SoC带宽/延迟) 2026-09-26</x:t>
        </x:is>
      </x:c>
    </x:row>
    <x:row r="297" ht="20" customHeight="1">
      <x:c r="A297" s="2891" t="inlineStr">
        <x:is>
          <x:t xml:space="preserve">MXFP8</x:t>
        </x:is>
      </x:c>
      <x:c r="B297" s="2976" t="n">
        <x:v>128</x:v>
      </x:c>
      <x:c r="C297" s="2976" t="n">
        <x:v>256</x:v>
      </x:c>
      <x:c r="D297" s="2976" t="n">
        <x:v>32768</x:v>
      </x:c>
      <x:c r="E297" s="2976" t="n">
        <x:v>128</x:v>
      </x:c>
      <x:c r="F297" s="2976" t="n">
        <x:v>64</x:v>
      </x:c>
      <x:c r="G297" s="2976" t="n">
        <x:v>512</x:v>
      </x:c>
      <x:c r="H297" s="2977" t="n">
        <x:v>68</x:v>
      </x:c>
      <x:c r="I297" s="2977" t="n">
        <x:v>34</x:v>
      </x:c>
      <x:c r="J297" s="2977" t="n">
        <x:v>102</x:v>
      </x:c>
      <x:c r="K297" s="2978" t="n">
        <x:v>128</x:v>
      </x:c>
      <x:c r="L297" s="2976" t="n">
        <x:v>383889</x:v>
      </x:c>
      <x:c r="M297" s="2895" t="n">
        <x:f>IF(AND(ISNUMBER(L297),L297&gt;0),ROUND(B297*C297*D297/8192/L297*100,1)/100,"")</x:f>
        <x:v>0.341</x:v>
      </x:c>
      <x:c r="N297" s="2976" t="n">
        <x:f>IF(OR(B297="",C297="",D297="",E297="",F297="",G297=""),"",ROUNDUP(B297/MIN(E297,128),0)*(C297/F297)*(D297/G297)*((MIN(B297,MIN(E297,128))+F297)*G297*(33/32)/1024))</x:f>
        <x:v>25344</x:v>
      </x:c>
      <x:c r="O297" s="2896" t="n">
        <x:f>IF(AND(ISNUMBER(N297),ISNUMBER(K297),K297&gt;0),N297*1024/K297,"")</x:f>
        <x:v>202752</x:v>
      </x:c>
      <x:c r="P297" s="2897" t="n">
        <x:f>IF(OR(E297="",F297="",G297=""),"",((H297+I297)*1024)/(E297*F297*G297/8192))</x:f>
        <x:v>204</x:v>
      </x:c>
      <x:c r="Q297" s="2897" t="n">
        <x:f>IF(OR(E297="",F297="",G297=""),"",(E297*F297*4)/(E297*F297*G297/8192))</x:f>
        <x:v>64</x:v>
      </x:c>
      <x:c r="R297" s="2895" t="n">
        <x:f>IF(AND(ISNUMBER(K297),K297&gt;0,ISNUMBER(P297),P297&gt;0),MIN(1,K297/P297),"")</x:f>
        <x:v>0.6274509803921569</x:v>
      </x:c>
      <x:c r="S297" s="2895" t="n">
        <x:f>IF(AND(ISNUMBER(K297),K297&gt;0,ISNUMBER(Q297),Q297&gt;0),MIN(1,K297/Q297),"")</x:f>
        <x:v>1</x:v>
      </x:c>
      <x:c r="T297" s="2895" t="n">
        <x:f>IF(AND(ISNUMBER(R297),ISNUMBER(S297)),MIN(R297,S297),"")</x:f>
        <x:v>0.6274509803921569</x:v>
      </x:c>
      <x:c r="U297" s="2897" t="n">
        <x:f>IF(AND(ISNUMBER(M297),ISNUMBER(T297)),(M297-T297)*100,"")</x:f>
        <x:v>-28.645098039215682</x:v>
      </x:c>
      <x:c r="V297" s="2976" t="n"/>
      <x:c r="W297" s="2895" t="n"/>
      <x:c r="X297" s="2895" t="n"/>
      <x:c r="Y297" s="2958" t="n"/>
      <x:c r="Z297" s="2895" t="n"/>
      <x:c r="AA297" s="2942" t="n"/>
      <x:c r="AB297" s="2935" t="inlineStr">
        <x:is>
          <x:t xml:space="preserve">PASS</x:t>
        </x:is>
      </x:c>
      <x:c r="AC297" s="2905" t="inlineStr">
        <x:is>
          <x:t xml:space="preserve">matmul_shared_lowp（MXFP8）；本轮 model-main ae058a98 + 6参数(无SoC带宽/延迟) 2026-09-26</x:t>
        </x:is>
      </x:c>
    </x:row>
    <x:row r="298" ht="20" customHeight="1">
      <x:c r="A298" s="2891" t="inlineStr">
        <x:is>
          <x:t xml:space="preserve">MXFP8</x:t>
        </x:is>
      </x:c>
      <x:c r="B298" s="2976" t="n">
        <x:v>128</x:v>
      </x:c>
      <x:c r="C298" s="2976" t="n">
        <x:v>256</x:v>
      </x:c>
      <x:c r="D298" s="2976" t="n">
        <x:v>32768</x:v>
      </x:c>
      <x:c r="E298" s="2976" t="n">
        <x:v>128</x:v>
      </x:c>
      <x:c r="F298" s="2976" t="n">
        <x:v>64</x:v>
      </x:c>
      <x:c r="G298" s="2976" t="n">
        <x:v>1024</x:v>
      </x:c>
      <x:c r="H298" s="2977" t="n">
        <x:v>132</x:v>
      </x:c>
      <x:c r="I298" s="2977" t="n">
        <x:v>66</x:v>
      </x:c>
      <x:c r="J298" s="2977" t="n">
        <x:v>198</x:v>
      </x:c>
      <x:c r="K298" s="2978" t="n">
        <x:v>128</x:v>
      </x:c>
      <x:c r="L298" s="2976" t="n">
        <x:v>690035</x:v>
      </x:c>
      <x:c r="M298" s="2895" t="n">
        <x:f>IF(AND(ISNUMBER(L298),L298&gt;0),ROUND(B298*C298*D298/8192/L298*100,1)/100,"")</x:f>
        <x:v>0.19</x:v>
      </x:c>
      <x:c r="N298" s="2976" t="n">
        <x:f>IF(OR(B298="",C298="",D298="",E298="",F298="",G298=""),"",ROUNDUP(B298/MIN(E298,128),0)*(C298/F298)*(D298/G298)*((MIN(B298,MIN(E298,128))+F298)*G298*(33/32)/1024))</x:f>
        <x:v>25344</x:v>
      </x:c>
      <x:c r="O298" s="2896" t="n">
        <x:f>IF(AND(ISNUMBER(N298),ISNUMBER(K298),K298&gt;0),N298*1024/K298,"")</x:f>
        <x:v>202752</x:v>
      </x:c>
      <x:c r="P298" s="2897" t="n">
        <x:f>IF(OR(E298="",F298="",G298=""),"",((H298+I298)*1024)/(E298*F298*G298/8192))</x:f>
        <x:v>198</x:v>
      </x:c>
      <x:c r="Q298" s="2897" t="n">
        <x:f>IF(OR(E298="",F298="",G298=""),"",(E298*F298*4)/(E298*F298*G298/8192))</x:f>
        <x:v>32</x:v>
      </x:c>
      <x:c r="R298" s="2895" t="n">
        <x:f>IF(AND(ISNUMBER(K298),K298&gt;0,ISNUMBER(P298),P298&gt;0),MIN(1,K298/P298),"")</x:f>
        <x:v>0.6464646464646465</x:v>
      </x:c>
      <x:c r="S298" s="2895" t="n">
        <x:f>IF(AND(ISNUMBER(K298),K298&gt;0,ISNUMBER(Q298),Q298&gt;0),MIN(1,K298/Q298),"")</x:f>
        <x:v>1</x:v>
      </x:c>
      <x:c r="T298" s="2895" t="n">
        <x:f>IF(AND(ISNUMBER(R298),ISNUMBER(S298)),MIN(R298,S298),"")</x:f>
        <x:v>0.6464646464646465</x:v>
      </x:c>
      <x:c r="U298" s="2897" t="n">
        <x:f>IF(AND(ISNUMBER(M298),ISNUMBER(T298)),(M298-T298)*100,"")</x:f>
        <x:v>-45.64646464646465</x:v>
      </x:c>
      <x:c r="V298" s="2976" t="n"/>
      <x:c r="W298" s="2895" t="n"/>
      <x:c r="X298" s="2895" t="n"/>
      <x:c r="Y298" s="2958" t="n"/>
      <x:c r="Z298" s="2895" t="n"/>
      <x:c r="AA298" s="2942" t="n"/>
      <x:c r="AB298" s="2935" t="inlineStr">
        <x:is>
          <x:t xml:space="preserve">PASS</x:t>
        </x:is>
      </x:c>
      <x:c r="AC298" s="2905" t="inlineStr">
        <x:is>
          <x:t xml:space="preserve">matmul_shared_lowp（MXFP8）；本轮 model-main ae058a98 + 6参数(无SoC带宽/延迟) 2026-09-26</x:t>
        </x:is>
      </x:c>
    </x:row>
    <x:row r="299" ht="20" customHeight="1">
      <x:c r="A299" s="2891" t="inlineStr">
        <x:is>
          <x:t xml:space="preserve">MXFP8</x:t>
        </x:is>
      </x:c>
      <x:c r="B299" s="2976" t="n">
        <x:v>128</x:v>
      </x:c>
      <x:c r="C299" s="2976" t="n">
        <x:v>256</x:v>
      </x:c>
      <x:c r="D299" s="2976" t="n">
        <x:v>32768</x:v>
      </x:c>
      <x:c r="E299" s="2976" t="n">
        <x:v>128</x:v>
      </x:c>
      <x:c r="F299" s="2976" t="n">
        <x:v>128</x:v>
      </x:c>
      <x:c r="G299" s="2976" t="n">
        <x:v>256</x:v>
      </x:c>
      <x:c r="H299" s="2977" t="n">
        <x:v>36</x:v>
      </x:c>
      <x:c r="I299" s="2977" t="n">
        <x:v>36</x:v>
      </x:c>
      <x:c r="J299" s="2977" t="n">
        <x:v>72</x:v>
      </x:c>
      <x:c r="K299" s="2978" t="n">
        <x:v>128</x:v>
      </x:c>
      <x:c r="L299" s="2976" t="n">
        <x:v>306692</x:v>
      </x:c>
      <x:c r="M299" s="2895" t="n">
        <x:f>IF(AND(ISNUMBER(L299),L299&gt;0),ROUND(B299*C299*D299/8192/L299*100,1)/100,"")</x:f>
        <x:v>0.42700000000000005</x:v>
      </x:c>
      <x:c r="N299" s="2976" t="n">
        <x:f>IF(OR(B299="",C299="",D299="",E299="",F299="",G299=""),"",ROUNDUP(B299/MIN(E299,128),0)*(C299/F299)*(D299/G299)*((MIN(B299,MIN(E299,128))+F299)*G299*(33/32)/1024))</x:f>
        <x:v>16896</x:v>
      </x:c>
      <x:c r="O299" s="2896" t="n">
        <x:f>IF(AND(ISNUMBER(N299),ISNUMBER(K299),K299&gt;0),N299*1024/K299,"")</x:f>
        <x:v>135168</x:v>
      </x:c>
      <x:c r="P299" s="2897" t="n">
        <x:f>IF(OR(E299="",F299="",G299=""),"",((H299+I299)*1024)/(E299*F299*G299/8192))</x:f>
        <x:v>144</x:v>
      </x:c>
      <x:c r="Q299" s="2897" t="n">
        <x:f>IF(OR(E299="",F299="",G299=""),"",(E299*F299*4)/(E299*F299*G299/8192))</x:f>
        <x:v>128</x:v>
      </x:c>
      <x:c r="R299" s="2895" t="n">
        <x:f>IF(AND(ISNUMBER(K299),K299&gt;0,ISNUMBER(P299),P299&gt;0),MIN(1,K299/P299),"")</x:f>
        <x:v>0.8888888888888888</x:v>
      </x:c>
      <x:c r="S299" s="2895" t="n">
        <x:f>IF(AND(ISNUMBER(K299),K299&gt;0,ISNUMBER(Q299),Q299&gt;0),MIN(1,K299/Q299),"")</x:f>
        <x:v>1</x:v>
      </x:c>
      <x:c r="T299" s="2895" t="n">
        <x:f>IF(AND(ISNUMBER(R299),ISNUMBER(S299)),MIN(R299,S299),"")</x:f>
        <x:v>0.8888888888888888</x:v>
      </x:c>
      <x:c r="U299" s="2897" t="n">
        <x:f>IF(AND(ISNUMBER(M299),ISNUMBER(T299)),(M299-T299)*100,"")</x:f>
        <x:v>-46.18888888888888</x:v>
      </x:c>
      <x:c r="V299" s="2976" t="n"/>
      <x:c r="W299" s="2895" t="n"/>
      <x:c r="X299" s="2895" t="n"/>
      <x:c r="Y299" s="2958" t="n"/>
      <x:c r="Z299" s="2895" t="n"/>
      <x:c r="AA299" s="2942" t="n"/>
      <x:c r="AB299" s="2935" t="inlineStr">
        <x:is>
          <x:t xml:space="preserve">PASS</x:t>
        </x:is>
      </x:c>
      <x:c r="AC299" s="2905" t="inlineStr">
        <x:is>
          <x:t xml:space="preserve">matmul_shared_lowp（MXFP8）；本轮 model-main ae058a98 + 6参数(无SoC带宽/延迟) 2026-09-26</x:t>
        </x:is>
      </x:c>
    </x:row>
    <x:row r="300" ht="20" customHeight="1">
      <x:c r="A300" s="2891" t="inlineStr">
        <x:is>
          <x:t xml:space="preserve">MXFP8</x:t>
        </x:is>
      </x:c>
      <x:c r="B300" s="2976" t="n">
        <x:v>128</x:v>
      </x:c>
      <x:c r="C300" s="2976" t="n">
        <x:v>256</x:v>
      </x:c>
      <x:c r="D300" s="2976" t="n">
        <x:v>32768</x:v>
      </x:c>
      <x:c r="E300" s="2976" t="n">
        <x:v>128</x:v>
      </x:c>
      <x:c r="F300" s="2976" t="n">
        <x:v>128</x:v>
      </x:c>
      <x:c r="G300" s="2976" t="n">
        <x:v>512</x:v>
      </x:c>
      <x:c r="H300" s="2977" t="n">
        <x:v>68</x:v>
      </x:c>
      <x:c r="I300" s="2977" t="n">
        <x:v>68</x:v>
      </x:c>
      <x:c r="J300" s="2977" t="n">
        <x:v>136</x:v>
      </x:c>
      <x:c r="K300" s="2978" t="n">
        <x:v>128</x:v>
      </x:c>
      <x:c r="L300" s="2976" t="n">
        <x:v>387689</x:v>
      </x:c>
      <x:c r="M300" s="2895" t="n">
        <x:f>IF(AND(ISNUMBER(L300),L300&gt;0),ROUND(B300*C300*D300/8192/L300*100,1)/100,"")</x:f>
        <x:v>0.33799999999999997</x:v>
      </x:c>
      <x:c r="N300" s="2976" t="n">
        <x:f>IF(OR(B300="",C300="",D300="",E300="",F300="",G300=""),"",ROUNDUP(B300/MIN(E300,128),0)*(C300/F300)*(D300/G300)*((MIN(B300,MIN(E300,128))+F300)*G300*(33/32)/1024))</x:f>
        <x:v>16896</x:v>
      </x:c>
      <x:c r="O300" s="2896" t="n">
        <x:f>IF(AND(ISNUMBER(N300),ISNUMBER(K300),K300&gt;0),N300*1024/K300,"")</x:f>
        <x:v>135168</x:v>
      </x:c>
      <x:c r="P300" s="2897" t="n">
        <x:f>IF(OR(E300="",F300="",G300=""),"",((H300+I300)*1024)/(E300*F300*G300/8192))</x:f>
        <x:v>136</x:v>
      </x:c>
      <x:c r="Q300" s="2897" t="n">
        <x:f>IF(OR(E300="",F300="",G300=""),"",(E300*F300*4)/(E300*F300*G300/8192))</x:f>
        <x:v>64</x:v>
      </x:c>
      <x:c r="R300" s="2895" t="n">
        <x:f>IF(AND(ISNUMBER(K300),K300&gt;0,ISNUMBER(P300),P300&gt;0),MIN(1,K300/P300),"")</x:f>
        <x:v>0.9411764705882353</x:v>
      </x:c>
      <x:c r="S300" s="2895" t="n">
        <x:f>IF(AND(ISNUMBER(K300),K300&gt;0,ISNUMBER(Q300),Q300&gt;0),MIN(1,K300/Q300),"")</x:f>
        <x:v>1</x:v>
      </x:c>
      <x:c r="T300" s="2895" t="n">
        <x:f>IF(AND(ISNUMBER(R300),ISNUMBER(S300)),MIN(R300,S300),"")</x:f>
        <x:v>0.9411764705882353</x:v>
      </x:c>
      <x:c r="U300" s="2897" t="n">
        <x:f>IF(AND(ISNUMBER(M300),ISNUMBER(T300)),(M300-T300)*100,"")</x:f>
        <x:v>-60.31764705882353</x:v>
      </x:c>
      <x:c r="V300" s="2976" t="n"/>
      <x:c r="W300" s="2895" t="n"/>
      <x:c r="X300" s="2895" t="n"/>
      <x:c r="Y300" s="2958" t="n"/>
      <x:c r="Z300" s="2895" t="n"/>
      <x:c r="AA300" s="2942" t="n"/>
      <x:c r="AB300" s="2935" t="inlineStr">
        <x:is>
          <x:t xml:space="preserve">PASS</x:t>
        </x:is>
      </x:c>
      <x:c r="AC300" s="2905" t="inlineStr">
        <x:is>
          <x:t xml:space="preserve">matmul_shared_lowp（MXFP8）；本轮 model-main ae058a98 + 6参数(无SoC带宽/延迟) 2026-09-26</x:t>
        </x:is>
      </x:c>
    </x:row>
    <x:row r="301" ht="20" customHeight="1">
      <x:c r="A301" s="2891" t="inlineStr">
        <x:is>
          <x:t xml:space="preserve">MXFP8</x:t>
        </x:is>
      </x:c>
      <x:c r="B301" s="2976" t="n">
        <x:v>128</x:v>
      </x:c>
      <x:c r="C301" s="2976" t="n">
        <x:v>256</x:v>
      </x:c>
      <x:c r="D301" s="2976" t="n">
        <x:v>32768</x:v>
      </x:c>
      <x:c r="E301" s="2976" t="n">
        <x:v>128</x:v>
      </x:c>
      <x:c r="F301" s="2976" t="n">
        <x:v>128</x:v>
      </x:c>
      <x:c r="G301" s="2976" t="n">
        <x:v>1024</x:v>
      </x:c>
      <x:c r="H301" s="2977" t="n">
        <x:v>132</x:v>
      </x:c>
      <x:c r="I301" s="2977" t="n">
        <x:v>132</x:v>
      </x:c>
      <x:c r="J301" s="2977" t="n">
        <x:v>264</x:v>
      </x:c>
      <x:c r="K301" s="2978" t="n">
        <x:v>128</x:v>
      </x:c>
      <x:c r="L301" s="2976" t="inlineStr">
        <x:is>
          <x:t xml:space="preserve">—</x:t>
        </x:is>
      </x:c>
      <x:c r="M301" s="2895" t="str">
        <x:f>IF(AND(ISNUMBER(L301),L301&gt;0),ROUND(B301*C301*D301/8192/L301*100,1)/100,"")</x:f>
      </x:c>
      <x:c r="N301" s="2976" t="n">
        <x:f>IF(OR(B301="",C301="",D301="",E301="",F301="",G301=""),"",ROUNDUP(B301/MIN(E301,128),0)*(C301/F301)*(D301/G301)*((MIN(B301,MIN(E301,128))+F301)*G301*(33/32)/1024))</x:f>
        <x:v>16896</x:v>
      </x:c>
      <x:c r="O301" s="2896" t="n">
        <x:f>IF(AND(ISNUMBER(N301),ISNUMBER(K301),K301&gt;0),N301*1024/K301,"")</x:f>
        <x:v>135168</x:v>
      </x:c>
      <x:c r="P301" s="2897" t="n">
        <x:f>IF(OR(E301="",F301="",G301=""),"",((H301+I301)*1024)/(E301*F301*G301/8192))</x:f>
        <x:v>132</x:v>
      </x:c>
      <x:c r="Q301" s="2897" t="n">
        <x:f>IF(OR(E301="",F301="",G301=""),"",(E301*F301*4)/(E301*F301*G301/8192))</x:f>
        <x:v>32</x:v>
      </x:c>
      <x:c r="R301" s="2895" t="n">
        <x:f>IF(AND(ISNUMBER(K301),K301&gt;0,ISNUMBER(P301),P301&gt;0),MIN(1,K301/P301),"")</x:f>
        <x:v>0.9696969696969697</x:v>
      </x:c>
      <x:c r="S301" s="2895" t="n">
        <x:f>IF(AND(ISNUMBER(K301),K301&gt;0,ISNUMBER(Q301),Q301&gt;0),MIN(1,K301/Q301),"")</x:f>
        <x:v>1</x:v>
      </x:c>
      <x:c r="T301" s="2895" t="n">
        <x:f>IF(AND(ISNUMBER(R301),ISNUMBER(S301)),MIN(R301,S301),"")</x:f>
        <x:v>0.9696969696969697</x:v>
      </x:c>
      <x:c r="U301" s="2897" t="str">
        <x:f>IF(AND(ISNUMBER(M301),ISNUMBER(T301)),(M301-T301)*100,"")</x:f>
      </x:c>
      <x:c r="V301" s="2976" t="n"/>
      <x:c r="W301" s="2895" t="n"/>
      <x:c r="X301" s="2895" t="n"/>
      <x:c r="Y301" s="2958" t="n"/>
      <x:c r="Z301" s="2895" t="n"/>
      <x:c r="AA301" s="2942" t="n"/>
      <x:c r="AB301" s="2936" t="inlineStr">
        <x:is>
          <x:t xml:space="preserve">COMPILE_FAIL</x:t>
        </x:is>
      </x:c>
      <x:c r="AC301" s="2905" t="inlineStr">
        <x:is>
          <x:t xml:space="preserve">容量超限：完整 SharedTile 足迹 &gt; 256 KiB；本轮 model-main 9b3a4405 + 8参数(256KB ShareTReg) 2026-09-22</x:t>
        </x:is>
      </x:c>
    </x:row>
    <x:row r="302" ht="20" customHeight="1">
      <x:c r="A302" s="2891" t="inlineStr">
        <x:is>
          <x:t xml:space="preserve">MXFP8</x:t>
        </x:is>
      </x:c>
      <x:c r="B302" s="2976" t="n">
        <x:v>128</x:v>
      </x:c>
      <x:c r="C302" s="2976" t="n">
        <x:v>256</x:v>
      </x:c>
      <x:c r="D302" s="2976" t="n">
        <x:v>32768</x:v>
      </x:c>
      <x:c r="E302" s="2976" t="n">
        <x:v>128</x:v>
      </x:c>
      <x:c r="F302" s="2976" t="n">
        <x:v>256</x:v>
      </x:c>
      <x:c r="G302" s="2976" t="n">
        <x:v>256</x:v>
      </x:c>
      <x:c r="H302" s="2977" t="n">
        <x:v>36</x:v>
      </x:c>
      <x:c r="I302" s="2977" t="n">
        <x:v>72</x:v>
      </x:c>
      <x:c r="J302" s="2977" t="n">
        <x:v>108</x:v>
      </x:c>
      <x:c r="K302" s="2978" t="n">
        <x:v>128</x:v>
      </x:c>
      <x:c r="L302" s="2976" t="n">
        <x:v>230858</x:v>
      </x:c>
      <x:c r="M302" s="2895" t="n">
        <x:f>IF(AND(ISNUMBER(L302),L302&gt;0),ROUND(B302*C302*D302/8192/L302*100,1)/100,"")</x:f>
        <x:v>0.568</x:v>
      </x:c>
      <x:c r="N302" s="2976" t="n">
        <x:f>IF(OR(B302="",C302="",D302="",E302="",F302="",G302=""),"",ROUNDUP(B302/MIN(E302,128),0)*(C302/F302)*(D302/G302)*((MIN(B302,MIN(E302,128))+F302)*G302*(33/32)/1024))</x:f>
        <x:v>12672</x:v>
      </x:c>
      <x:c r="O302" s="2896" t="n">
        <x:f>IF(AND(ISNUMBER(N302),ISNUMBER(K302),K302&gt;0),N302*1024/K302,"")</x:f>
        <x:v>101376</x:v>
      </x:c>
      <x:c r="P302" s="2897" t="n">
        <x:f>IF(OR(E302="",F302="",G302=""),"",((H302+I302)*1024)/(E302*F302*G302/8192))</x:f>
        <x:v>108</x:v>
      </x:c>
      <x:c r="Q302" s="2897" t="n">
        <x:f>IF(OR(E302="",F302="",G302=""),"",(E302*F302*4)/(E302*F302*G302/8192))</x:f>
        <x:v>128</x:v>
      </x:c>
      <x:c r="R302" s="2895" t="n">
        <x:f>IF(AND(ISNUMBER(K302),K302&gt;0,ISNUMBER(P302),P302&gt;0),MIN(1,K302/P302),"")</x:f>
        <x:v>1</x:v>
      </x:c>
      <x:c r="S302" s="2895" t="n">
        <x:f>IF(AND(ISNUMBER(K302),K302&gt;0,ISNUMBER(Q302),Q302&gt;0),MIN(1,K302/Q302),"")</x:f>
        <x:v>1</x:v>
      </x:c>
      <x:c r="T302" s="2895" t="n">
        <x:f>IF(AND(ISNUMBER(R302),ISNUMBER(S302)),MIN(R302,S302),"")</x:f>
        <x:v>1</x:v>
      </x:c>
      <x:c r="U302" s="2897" t="n">
        <x:f>IF(AND(ISNUMBER(M302),ISNUMBER(T302)),(M302-T302)*100,"")</x:f>
        <x:v>-43.2</x:v>
      </x:c>
      <x:c r="V302" s="2976" t="n"/>
      <x:c r="W302" s="2895" t="n"/>
      <x:c r="X302" s="2895" t="n"/>
      <x:c r="Y302" s="2958" t="n"/>
      <x:c r="Z302" s="2895" t="n"/>
      <x:c r="AA302" s="2942" t="n"/>
      <x:c r="AB302" s="2935" t="inlineStr">
        <x:is>
          <x:t xml:space="preserve">PASS</x:t>
        </x:is>
      </x:c>
      <x:c r="AC302" s="2905" t="inlineStr">
        <x:is>
          <x:t xml:space="preserve">matmul_shared_lowp（MXFP8）；本轮 model-main ae058a98 + 6参数(无SoC带宽/延迟) 2026-09-26</x:t>
        </x:is>
      </x:c>
    </x:row>
    <x:row r="303" ht="20" customHeight="1">
      <x:c r="A303" s="2891" t="inlineStr">
        <x:is>
          <x:t xml:space="preserve">MXFP8</x:t>
        </x:is>
      </x:c>
      <x:c r="B303" s="2976" t="n">
        <x:v>128</x:v>
      </x:c>
      <x:c r="C303" s="2976" t="n">
        <x:v>256</x:v>
      </x:c>
      <x:c r="D303" s="2976" t="n">
        <x:v>32768</x:v>
      </x:c>
      <x:c r="E303" s="2976" t="n">
        <x:v>128</x:v>
      </x:c>
      <x:c r="F303" s="2976" t="n">
        <x:v>256</x:v>
      </x:c>
      <x:c r="G303" s="2976" t="n">
        <x:v>512</x:v>
      </x:c>
      <x:c r="H303" s="2977" t="n">
        <x:v>68</x:v>
      </x:c>
      <x:c r="I303" s="2977" t="n">
        <x:v>136</x:v>
      </x:c>
      <x:c r="J303" s="2977" t="n">
        <x:v>204</x:v>
      </x:c>
      <x:c r="K303" s="2978" t="n">
        <x:v>128</x:v>
      </x:c>
      <x:c r="L303" s="2976" t="n">
        <x:v>375258</x:v>
      </x:c>
      <x:c r="M303" s="2895" t="n">
        <x:f>IF(AND(ISNUMBER(L303),L303&gt;0),ROUND(B303*C303*D303/8192/L303*100,1)/100,"")</x:f>
        <x:v>0.349</x:v>
      </x:c>
      <x:c r="N303" s="2976" t="n">
        <x:f>IF(OR(B303="",C303="",D303="",E303="",F303="",G303=""),"",ROUNDUP(B303/MIN(E303,128),0)*(C303/F303)*(D303/G303)*((MIN(B303,MIN(E303,128))+F303)*G303*(33/32)/1024))</x:f>
        <x:v>12672</x:v>
      </x:c>
      <x:c r="O303" s="2896" t="n">
        <x:f>IF(AND(ISNUMBER(N303),ISNUMBER(K303),K303&gt;0),N303*1024/K303,"")</x:f>
        <x:v>101376</x:v>
      </x:c>
      <x:c r="P303" s="2897" t="n">
        <x:f>IF(OR(E303="",F303="",G303=""),"",((H303+I303)*1024)/(E303*F303*G303/8192))</x:f>
        <x:v>102</x:v>
      </x:c>
      <x:c r="Q303" s="2897" t="n">
        <x:f>IF(OR(E303="",F303="",G303=""),"",(E303*F303*4)/(E303*F303*G303/8192))</x:f>
        <x:v>64</x:v>
      </x:c>
      <x:c r="R303" s="2895" t="n">
        <x:f>IF(AND(ISNUMBER(K303),K303&gt;0,ISNUMBER(P303),P303&gt;0),MIN(1,K303/P303),"")</x:f>
        <x:v>1</x:v>
      </x:c>
      <x:c r="S303" s="2895" t="n">
        <x:f>IF(AND(ISNUMBER(K303),K303&gt;0,ISNUMBER(Q303),Q303&gt;0),MIN(1,K303/Q303),"")</x:f>
        <x:v>1</x:v>
      </x:c>
      <x:c r="T303" s="2895" t="n">
        <x:f>IF(AND(ISNUMBER(R303),ISNUMBER(S303)),MIN(R303,S303),"")</x:f>
        <x:v>1</x:v>
      </x:c>
      <x:c r="U303" s="2897" t="n">
        <x:f>IF(AND(ISNUMBER(M303),ISNUMBER(T303)),(M303-T303)*100,"")</x:f>
        <x:v>-65.10000000000001</x:v>
      </x:c>
      <x:c r="V303" s="2976" t="n"/>
      <x:c r="W303" s="2895" t="n"/>
      <x:c r="X303" s="2895" t="n"/>
      <x:c r="Y303" s="2958" t="n"/>
      <x:c r="Z303" s="2895" t="n"/>
      <x:c r="AA303" s="2942" t="n"/>
      <x:c r="AB303" s="2935" t="inlineStr">
        <x:is>
          <x:t xml:space="preserve">PASS</x:t>
        </x:is>
      </x:c>
      <x:c r="AC303" s="2905" t="inlineStr">
        <x:is>
          <x:t xml:space="preserve">matmul_shared_lowp（MXFP8）；本轮 model-main ae058a98 + 6参数(无SoC带宽/延迟) 2026-09-26</x:t>
        </x:is>
      </x:c>
    </x:row>
    <x:row r="304" ht="20" customHeight="1">
      <x:c r="A304" s="2891" t="inlineStr">
        <x:is>
          <x:t xml:space="preserve">MXFP8</x:t>
        </x:is>
      </x:c>
      <x:c r="B304" s="2976" t="n">
        <x:v>128</x:v>
      </x:c>
      <x:c r="C304" s="2976" t="n">
        <x:v>256</x:v>
      </x:c>
      <x:c r="D304" s="2976" t="n">
        <x:v>32768</x:v>
      </x:c>
      <x:c r="E304" s="2976" t="n">
        <x:v>128</x:v>
      </x:c>
      <x:c r="F304" s="2976" t="n">
        <x:v>256</x:v>
      </x:c>
      <x:c r="G304" s="2976" t="n">
        <x:v>1024</x:v>
      </x:c>
      <x:c r="H304" s="2977" t="n">
        <x:v>132</x:v>
      </x:c>
      <x:c r="I304" s="2977" t="n">
        <x:v>264</x:v>
      </x:c>
      <x:c r="J304" s="2977" t="n">
        <x:v>396</x:v>
      </x:c>
      <x:c r="K304" s="2978" t="n">
        <x:v>128</x:v>
      </x:c>
      <x:c r="L304" s="2976" t="inlineStr">
        <x:is>
          <x:t xml:space="preserve">—</x:t>
        </x:is>
      </x:c>
      <x:c r="M304" s="2895" t="str">
        <x:f>IF(AND(ISNUMBER(L304),L304&gt;0),ROUND(B304*C304*D304/8192/L304*100,1)/100,"")</x:f>
      </x:c>
      <x:c r="N304" s="2976" t="n">
        <x:f>IF(OR(B304="",C304="",D304="",E304="",F304="",G304=""),"",ROUNDUP(B304/MIN(E304,128),0)*(C304/F304)*(D304/G304)*((MIN(B304,MIN(E304,128))+F304)*G304*(33/32)/1024))</x:f>
        <x:v>12672</x:v>
      </x:c>
      <x:c r="O304" s="2896" t="n">
        <x:f>IF(AND(ISNUMBER(N304),ISNUMBER(K304),K304&gt;0),N304*1024/K304,"")</x:f>
        <x:v>101376</x:v>
      </x:c>
      <x:c r="P304" s="2897" t="n">
        <x:f>IF(OR(E304="",F304="",G304=""),"",((H304+I304)*1024)/(E304*F304*G304/8192))</x:f>
        <x:v>99</x:v>
      </x:c>
      <x:c r="Q304" s="2897" t="n">
        <x:f>IF(OR(E304="",F304="",G304=""),"",(E304*F304*4)/(E304*F304*G304/8192))</x:f>
        <x:v>32</x:v>
      </x:c>
      <x:c r="R304" s="2895" t="n">
        <x:f>IF(AND(ISNUMBER(K304),K304&gt;0,ISNUMBER(P304),P304&gt;0),MIN(1,K304/P304),"")</x:f>
        <x:v>1</x:v>
      </x:c>
      <x:c r="S304" s="2895" t="n">
        <x:f>IF(AND(ISNUMBER(K304),K304&gt;0,ISNUMBER(Q304),Q304&gt;0),MIN(1,K304/Q304),"")</x:f>
        <x:v>1</x:v>
      </x:c>
      <x:c r="T304" s="2895" t="n">
        <x:f>IF(AND(ISNUMBER(R304),ISNUMBER(S304)),MIN(R304,S304),"")</x:f>
        <x:v>1</x:v>
      </x:c>
      <x:c r="U304" s="2897" t="str">
        <x:f>IF(AND(ISNUMBER(M304),ISNUMBER(T304)),(M304-T304)*100,"")</x:f>
      </x:c>
      <x:c r="V304" s="2976" t="n"/>
      <x:c r="W304" s="2895" t="n"/>
      <x:c r="X304" s="2895" t="n"/>
      <x:c r="Y304" s="2958" t="n"/>
      <x:c r="Z304" s="2895" t="n"/>
      <x:c r="AA304" s="2942" t="n"/>
      <x:c r="AB304" s="2936" t="inlineStr">
        <x:is>
          <x:t xml:space="preserve">COMPILE_FAIL</x:t>
        </x:is>
      </x:c>
      <x:c r="AC304" s="2905" t="inlineStr">
        <x:is>
          <x:t xml:space="preserve">容量超限：完整 SharedTile 足迹 &gt; 256 KiB；本轮 model-main 9b3a4405 + 8参数(256KB ShareTReg) 2026-09-22</x:t>
        </x:is>
      </x:c>
    </x:row>
    <x:row r="305" ht="20" customHeight="1">
      <x:c r="A305" s="2822" t="inlineStr">
        <x:is>
          <x:t xml:space="preserve">MXFP4</x:t>
        </x:is>
      </x:c>
      <x:c r="B305" s="2964" t="n"/>
      <x:c r="C305" s="2964" t="n"/>
      <x:c r="D305" s="2964" t="n"/>
      <x:c r="E305" s="2964" t="n"/>
      <x:c r="F305" s="2964" t="n"/>
      <x:c r="G305" s="2964" t="n"/>
      <x:c r="H305" s="2965" t="n"/>
      <x:c r="I305" s="2965" t="n"/>
      <x:c r="J305" s="2965" t="n"/>
      <x:c r="K305" s="2966"/>
      <x:c r="L305" s="2964" t="n"/>
      <x:c r="M305" s="2826" t="str"/>
      <x:c r="N305" s="2964" t="str"/>
      <x:c r="O305" s="2827" t="str"/>
      <x:c r="P305" s="2828" t="str"/>
      <x:c r="Q305" s="2828" t="str"/>
      <x:c r="R305" s="2826" t="str"/>
      <x:c r="S305" s="2826" t="str"/>
      <x:c r="T305" s="2826" t="str"/>
      <x:c r="U305" s="2828" t="str"/>
      <x:c r="V305" s="2964" t="n"/>
      <x:c r="W305" s="2826" t="n"/>
      <x:c r="X305" s="2826" t="n"/>
      <x:c r="Y305" s="2954" t="n"/>
      <x:c r="Z305" s="2826" t="n"/>
      <x:c r="AA305" s="2822" t="n"/>
      <x:c r="AB305" s="2822" t="n"/>
      <x:c r="AC305" s="2822" t="n"/>
    </x:row>
    <x:row r="306" ht="20" customHeight="1">
      <x:c r="A306" s="2916" t="inlineStr">
        <x:is>
          <x:t xml:space="preserve">MXFP4</x:t>
        </x:is>
      </x:c>
      <x:c r="B306" s="2979" t="n">
        <x:v>128</x:v>
      </x:c>
      <x:c r="C306" s="2979" t="n">
        <x:v>256</x:v>
      </x:c>
      <x:c r="D306" s="2979" t="n">
        <x:v>32768</x:v>
      </x:c>
      <x:c r="E306" s="2979" t="n">
        <x:v>128</x:v>
      </x:c>
      <x:c r="F306" s="2979" t="n">
        <x:v>64</x:v>
      </x:c>
      <x:c r="G306" s="2979" t="n">
        <x:v>256</x:v>
      </x:c>
      <x:c r="H306" s="2980" t="n">
        <x:v>36</x:v>
      </x:c>
      <x:c r="I306" s="2980" t="n">
        <x:v>18</x:v>
      </x:c>
      <x:c r="J306" s="2980" t="n">
        <x:v>54</x:v>
      </x:c>
      <x:c r="K306" s="2981" t="n">
        <x:v>128</x:v>
      </x:c>
      <x:c r="L306" s="2979" t="n">
        <x:v>458835</x:v>
      </x:c>
      <x:c r="M306" s="2920" t="n">
        <x:f>IF(AND(ISNUMBER(L306),L306&gt;0),ROUND(B306*C306*D306/16384/L306*100,1)/100,"")</x:f>
        <x:v>0.14300000000000002</x:v>
      </x:c>
      <x:c r="N306" s="2979" t="n">
        <x:f>IF(OR(B306="",C306="",D306="",E306="",F306="",G306=""),"",ROUNDUP(B306/MIN(E306,128),0)*(C306/F306)*(D306/G306)*((MIN(B306,MIN(E306,128))+F306)*G306*(17/32)/1024))</x:f>
        <x:v>13056</x:v>
      </x:c>
      <x:c r="O306" s="2921" t="n">
        <x:f>IF(AND(ISNUMBER(N306),ISNUMBER(K306),K306&gt;0),N306*1024/K306,"")</x:f>
        <x:v>104448</x:v>
      </x:c>
      <x:c r="P306" s="2922" t="n">
        <x:f>IF(OR(E306="",F306="",G306=""),"",((H306+I306)*1024)/(E306*F306*G306/16384))</x:f>
        <x:v>432</x:v>
      </x:c>
      <x:c r="Q306" s="2922" t="n">
        <x:f>IF(OR(E306="",F306="",G306=""),"",(E306*F306*4)/(E306*F306*G306/16384))</x:f>
        <x:v>256</x:v>
      </x:c>
      <x:c r="R306" s="2920" t="n">
        <x:f>IF(AND(ISNUMBER(K306),K306&gt;0,ISNUMBER(P306),P306&gt;0),MIN(1,K306/P306),"")</x:f>
        <x:v>0.2962962962962963</x:v>
      </x:c>
      <x:c r="S306" s="2920" t="n">
        <x:f>IF(AND(ISNUMBER(K306),K306&gt;0,ISNUMBER(Q306),Q306&gt;0),MIN(1,K306/Q306),"")</x:f>
        <x:v>0.5</x:v>
      </x:c>
      <x:c r="T306" s="2920" t="n">
        <x:f>IF(AND(ISNUMBER(R306),ISNUMBER(S306)),MIN(R306,S306),"")</x:f>
        <x:v>0.2962962962962963</x:v>
      </x:c>
      <x:c r="U306" s="2922" t="n">
        <x:f>IF(AND(ISNUMBER(M306),ISNUMBER(T306)),(M306-T306)*100,"")</x:f>
        <x:v>-15.329629629629625</x:v>
      </x:c>
      <x:c r="V306" s="2979" t="n"/>
      <x:c r="W306" s="2920" t="n"/>
      <x:c r="X306" s="2920" t="n"/>
      <x:c r="Y306" s="2959" t="n"/>
      <x:c r="Z306" s="2920" t="n"/>
      <x:c r="AA306" s="2937" t="n"/>
      <x:c r="AB306" s="2938" t="inlineStr">
        <x:is>
          <x:t xml:space="preserve">PASS</x:t>
        </x:is>
      </x:c>
      <x:c r="AC306" s="2930" t="inlineStr">
        <x:is>
          <x:t xml:space="preserve">matmul_shared_lowp（MXFP4）；本轮 model-main ae058a98 + 6参数(无SoC带宽/延迟) 2026-09-26</x:t>
        </x:is>
      </x:c>
    </x:row>
    <x:row r="307" ht="20" customHeight="1">
      <x:c r="A307" s="2916" t="inlineStr">
        <x:is>
          <x:t xml:space="preserve">MXFP4</x:t>
        </x:is>
      </x:c>
      <x:c r="B307" s="2979" t="n">
        <x:v>128</x:v>
      </x:c>
      <x:c r="C307" s="2979" t="n">
        <x:v>256</x:v>
      </x:c>
      <x:c r="D307" s="2979" t="n">
        <x:v>32768</x:v>
      </x:c>
      <x:c r="E307" s="2979" t="n">
        <x:v>128</x:v>
      </x:c>
      <x:c r="F307" s="2979" t="n">
        <x:v>64</x:v>
      </x:c>
      <x:c r="G307" s="2979" t="n">
        <x:v>512</x:v>
      </x:c>
      <x:c r="H307" s="2980" t="n">
        <x:v>68</x:v>
      </x:c>
      <x:c r="I307" s="2980" t="n">
        <x:v>34</x:v>
      </x:c>
      <x:c r="J307" s="2980" t="n">
        <x:v>102</x:v>
      </x:c>
      <x:c r="K307" s="2981" t="n">
        <x:v>128</x:v>
      </x:c>
      <x:c r="L307" s="2979" t="n">
        <x:v>383662</x:v>
      </x:c>
      <x:c r="M307" s="2920" t="n">
        <x:f>IF(AND(ISNUMBER(L307),L307&gt;0),ROUND(B307*C307*D307/16384/L307*100,1)/100,"")</x:f>
        <x:v>0.171</x:v>
      </x:c>
      <x:c r="N307" s="2979" t="n">
        <x:f>IF(OR(B307="",C307="",D307="",E307="",F307="",G307=""),"",ROUNDUP(B307/MIN(E307,128),0)*(C307/F307)*(D307/G307)*((MIN(B307,MIN(E307,128))+F307)*G307*(17/32)/1024))</x:f>
        <x:v>13056</x:v>
      </x:c>
      <x:c r="O307" s="2921" t="n">
        <x:f>IF(AND(ISNUMBER(N307),ISNUMBER(K307),K307&gt;0),N307*1024/K307,"")</x:f>
        <x:v>104448</x:v>
      </x:c>
      <x:c r="P307" s="2922" t="n">
        <x:f>IF(OR(E307="",F307="",G307=""),"",((H307+I307)*1024)/(E307*F307*G307/16384))</x:f>
        <x:v>408</x:v>
      </x:c>
      <x:c r="Q307" s="2922" t="n">
        <x:f>IF(OR(E307="",F307="",G307=""),"",(E307*F307*4)/(E307*F307*G307/16384))</x:f>
        <x:v>128</x:v>
      </x:c>
      <x:c r="R307" s="2920" t="n">
        <x:f>IF(AND(ISNUMBER(K307),K307&gt;0,ISNUMBER(P307),P307&gt;0),MIN(1,K307/P307),"")</x:f>
        <x:v>0.3137254901960784</x:v>
      </x:c>
      <x:c r="S307" s="2920" t="n">
        <x:f>IF(AND(ISNUMBER(K307),K307&gt;0,ISNUMBER(Q307),Q307&gt;0),MIN(1,K307/Q307),"")</x:f>
        <x:v>1</x:v>
      </x:c>
      <x:c r="T307" s="2920" t="n">
        <x:f>IF(AND(ISNUMBER(R307),ISNUMBER(S307)),MIN(R307,S307),"")</x:f>
        <x:v>0.3137254901960784</x:v>
      </x:c>
      <x:c r="U307" s="2922" t="n">
        <x:f>IF(AND(ISNUMBER(M307),ISNUMBER(T307)),(M307-T307)*100,"")</x:f>
        <x:v>-14.272549019607842</x:v>
      </x:c>
      <x:c r="V307" s="2979" t="n"/>
      <x:c r="W307" s="2920" t="n"/>
      <x:c r="X307" s="2920" t="n"/>
      <x:c r="Y307" s="2959" t="n"/>
      <x:c r="Z307" s="2920" t="n"/>
      <x:c r="AA307" s="2937" t="n"/>
      <x:c r="AB307" s="2938" t="inlineStr">
        <x:is>
          <x:t xml:space="preserve">PASS</x:t>
        </x:is>
      </x:c>
      <x:c r="AC307" s="2930" t="inlineStr">
        <x:is>
          <x:t xml:space="preserve">matmul_shared_lowp（MXFP4）；本轮 model-main ae058a98 + 6参数(无SoC带宽/延迟) 2026-09-26</x:t>
        </x:is>
      </x:c>
    </x:row>
    <x:row r="308" ht="20" customHeight="1">
      <x:c r="A308" s="2916" t="inlineStr">
        <x:is>
          <x:t xml:space="preserve">MXFP4</x:t>
        </x:is>
      </x:c>
      <x:c r="B308" s="2979" t="n">
        <x:v>128</x:v>
      </x:c>
      <x:c r="C308" s="2979" t="n">
        <x:v>256</x:v>
      </x:c>
      <x:c r="D308" s="2979" t="n">
        <x:v>32768</x:v>
      </x:c>
      <x:c r="E308" s="2979" t="n">
        <x:v>128</x:v>
      </x:c>
      <x:c r="F308" s="2979" t="n">
        <x:v>64</x:v>
      </x:c>
      <x:c r="G308" s="2979" t="n">
        <x:v>1024</x:v>
      </x:c>
      <x:c r="H308" s="2980" t="n">
        <x:v>132</x:v>
      </x:c>
      <x:c r="I308" s="2980" t="n">
        <x:v>66</x:v>
      </x:c>
      <x:c r="J308" s="2980" t="n">
        <x:v>198</x:v>
      </x:c>
      <x:c r="K308" s="2981" t="n">
        <x:v>128</x:v>
      </x:c>
      <x:c r="L308" s="2979" t="n">
        <x:v>638039</x:v>
      </x:c>
      <x:c r="M308" s="2920" t="n">
        <x:f>IF(AND(ISNUMBER(L308),L308&gt;0),ROUND(B308*C308*D308/16384/L308*100,1)/100,"")</x:f>
        <x:v>0.10300000000000001</x:v>
      </x:c>
      <x:c r="N308" s="2979" t="n">
        <x:f>IF(OR(B308="",C308="",D308="",E308="",F308="",G308=""),"",ROUNDUP(B308/MIN(E308,128),0)*(C308/F308)*(D308/G308)*((MIN(B308,MIN(E308,128))+F308)*G308*(17/32)/1024))</x:f>
        <x:v>13056</x:v>
      </x:c>
      <x:c r="O308" s="2921" t="n">
        <x:f>IF(AND(ISNUMBER(N308),ISNUMBER(K308),K308&gt;0),N308*1024/K308,"")</x:f>
        <x:v>104448</x:v>
      </x:c>
      <x:c r="P308" s="2922" t="n">
        <x:f>IF(OR(E308="",F308="",G308=""),"",((H308+I308)*1024)/(E308*F308*G308/16384))</x:f>
        <x:v>396</x:v>
      </x:c>
      <x:c r="Q308" s="2922" t="n">
        <x:f>IF(OR(E308="",F308="",G308=""),"",(E308*F308*4)/(E308*F308*G308/16384))</x:f>
        <x:v>64</x:v>
      </x:c>
      <x:c r="R308" s="2920" t="n">
        <x:f>IF(AND(ISNUMBER(K308),K308&gt;0,ISNUMBER(P308),P308&gt;0),MIN(1,K308/P308),"")</x:f>
        <x:v>0.32323232323232326</x:v>
      </x:c>
      <x:c r="S308" s="2920" t="n">
        <x:f>IF(AND(ISNUMBER(K308),K308&gt;0,ISNUMBER(Q308),Q308&gt;0),MIN(1,K308/Q308),"")</x:f>
        <x:v>1</x:v>
      </x:c>
      <x:c r="T308" s="2920" t="n">
        <x:f>IF(AND(ISNUMBER(R308),ISNUMBER(S308)),MIN(R308,S308),"")</x:f>
        <x:v>0.32323232323232326</x:v>
      </x:c>
      <x:c r="U308" s="2922" t="n">
        <x:f>IF(AND(ISNUMBER(M308),ISNUMBER(T308)),(M308-T308)*100,"")</x:f>
        <x:v>-22.023232323232325</x:v>
      </x:c>
      <x:c r="V308" s="2979" t="n"/>
      <x:c r="W308" s="2920" t="n"/>
      <x:c r="X308" s="2920" t="n"/>
      <x:c r="Y308" s="2959" t="n"/>
      <x:c r="Z308" s="2920" t="n"/>
      <x:c r="AA308" s="2937" t="n"/>
      <x:c r="AB308" s="2938" t="inlineStr">
        <x:is>
          <x:t xml:space="preserve">PASS</x:t>
        </x:is>
      </x:c>
      <x:c r="AC308" s="2930" t="inlineStr">
        <x:is>
          <x:t xml:space="preserve">matmul_shared_lowp（MXFP4）；本轮 model-main ae058a98 + 6参数(无SoC带宽/延迟) 2026-09-26</x:t>
        </x:is>
      </x:c>
    </x:row>
    <x:row r="309" ht="20" customHeight="1">
      <x:c r="A309" s="2916" t="inlineStr">
        <x:is>
          <x:t xml:space="preserve">MXFP4</x:t>
        </x:is>
      </x:c>
      <x:c r="B309" s="2979" t="n">
        <x:v>128</x:v>
      </x:c>
      <x:c r="C309" s="2979" t="n">
        <x:v>256</x:v>
      </x:c>
      <x:c r="D309" s="2979" t="n">
        <x:v>32768</x:v>
      </x:c>
      <x:c r="E309" s="2979" t="n">
        <x:v>128</x:v>
      </x:c>
      <x:c r="F309" s="2979" t="n">
        <x:v>128</x:v>
      </x:c>
      <x:c r="G309" s="2979" t="n">
        <x:v>256</x:v>
      </x:c>
      <x:c r="H309" s="2980" t="n">
        <x:v>36</x:v>
      </x:c>
      <x:c r="I309" s="2980" t="n">
        <x:v>36</x:v>
      </x:c>
      <x:c r="J309" s="2980" t="n">
        <x:v>72</x:v>
      </x:c>
      <x:c r="K309" s="2981" t="n">
        <x:v>128</x:v>
      </x:c>
      <x:c r="L309" s="2979" t="n">
        <x:v>306433</x:v>
      </x:c>
      <x:c r="M309" s="2920" t="n">
        <x:f>IF(AND(ISNUMBER(L309),L309&gt;0),ROUND(B309*C309*D309/16384/L309*100,1)/100,"")</x:f>
        <x:v>0.214</x:v>
      </x:c>
      <x:c r="N309" s="2979" t="n">
        <x:f>IF(OR(B309="",C309="",D309="",E309="",F309="",G309=""),"",ROUNDUP(B309/MIN(E309,128),0)*(C309/F309)*(D309/G309)*((MIN(B309,MIN(E309,128))+F309)*G309*(17/32)/1024))</x:f>
        <x:v>8704</x:v>
      </x:c>
      <x:c r="O309" s="2921" t="n">
        <x:f>IF(AND(ISNUMBER(N309),ISNUMBER(K309),K309&gt;0),N309*1024/K309,"")</x:f>
        <x:v>69632</x:v>
      </x:c>
      <x:c r="P309" s="2922" t="n">
        <x:f>IF(OR(E309="",F309="",G309=""),"",((H309+I309)*1024)/(E309*F309*G309/16384))</x:f>
        <x:v>288</x:v>
      </x:c>
      <x:c r="Q309" s="2922" t="n">
        <x:f>IF(OR(E309="",F309="",G309=""),"",(E309*F309*4)/(E309*F309*G309/16384))</x:f>
        <x:v>256</x:v>
      </x:c>
      <x:c r="R309" s="2920" t="n">
        <x:f>IF(AND(ISNUMBER(K309),K309&gt;0,ISNUMBER(P309),P309&gt;0),MIN(1,K309/P309),"")</x:f>
        <x:v>0.4444444444444444</x:v>
      </x:c>
      <x:c r="S309" s="2920" t="n">
        <x:f>IF(AND(ISNUMBER(K309),K309&gt;0,ISNUMBER(Q309),Q309&gt;0),MIN(1,K309/Q309),"")</x:f>
        <x:v>0.5</x:v>
      </x:c>
      <x:c r="T309" s="2920" t="n">
        <x:f>IF(AND(ISNUMBER(R309),ISNUMBER(S309)),MIN(R309,S309),"")</x:f>
        <x:v>0.4444444444444444</x:v>
      </x:c>
      <x:c r="U309" s="2922" t="n">
        <x:f>IF(AND(ISNUMBER(M309),ISNUMBER(T309)),(M309-T309)*100,"")</x:f>
        <x:v>-23.04444444444444</x:v>
      </x:c>
      <x:c r="V309" s="2979" t="n"/>
      <x:c r="W309" s="2920" t="n"/>
      <x:c r="X309" s="2920" t="n"/>
      <x:c r="Y309" s="2959" t="n"/>
      <x:c r="Z309" s="2920" t="n"/>
      <x:c r="AA309" s="2937" t="n"/>
      <x:c r="AB309" s="2938" t="inlineStr">
        <x:is>
          <x:t xml:space="preserve">PASS</x:t>
        </x:is>
      </x:c>
      <x:c r="AC309" s="2930" t="inlineStr">
        <x:is>
          <x:t xml:space="preserve">matmul_shared_lowp（MXFP4）；本轮 model-main ae058a98 + 6参数(无SoC带宽/延迟) 2026-09-26</x:t>
        </x:is>
      </x:c>
    </x:row>
    <x:row r="310" ht="20" customHeight="1">
      <x:c r="A310" s="2916" t="inlineStr">
        <x:is>
          <x:t xml:space="preserve">MXFP4</x:t>
        </x:is>
      </x:c>
      <x:c r="B310" s="2979" t="n">
        <x:v>128</x:v>
      </x:c>
      <x:c r="C310" s="2979" t="n">
        <x:v>256</x:v>
      </x:c>
      <x:c r="D310" s="2979" t="n">
        <x:v>32768</x:v>
      </x:c>
      <x:c r="E310" s="2979" t="n">
        <x:v>128</x:v>
      </x:c>
      <x:c r="F310" s="2979" t="n">
        <x:v>128</x:v>
      </x:c>
      <x:c r="G310" s="2979" t="n">
        <x:v>512</x:v>
      </x:c>
      <x:c r="H310" s="2980" t="n">
        <x:v>68</x:v>
      </x:c>
      <x:c r="I310" s="2980" t="n">
        <x:v>68</x:v>
      </x:c>
      <x:c r="J310" s="2980" t="n">
        <x:v>136</x:v>
      </x:c>
      <x:c r="K310" s="2981" t="n">
        <x:v>128</x:v>
      </x:c>
      <x:c r="L310" s="2979" t="n">
        <x:v>332045</x:v>
      </x:c>
      <x:c r="M310" s="2920" t="n">
        <x:f>IF(AND(ISNUMBER(L310),L310&gt;0),ROUND(B310*C310*D310/16384/L310*100,1)/100,"")</x:f>
        <x:v>0.19699999999999998</x:v>
      </x:c>
      <x:c r="N310" s="2979" t="n">
        <x:f>IF(OR(B310="",C310="",D310="",E310="",F310="",G310=""),"",ROUNDUP(B310/MIN(E310,128),0)*(C310/F310)*(D310/G310)*((MIN(B310,MIN(E310,128))+F310)*G310*(17/32)/1024))</x:f>
        <x:v>8704</x:v>
      </x:c>
      <x:c r="O310" s="2921" t="n">
        <x:f>IF(AND(ISNUMBER(N310),ISNUMBER(K310),K310&gt;0),N310*1024/K310,"")</x:f>
        <x:v>69632</x:v>
      </x:c>
      <x:c r="P310" s="2922" t="n">
        <x:f>IF(OR(E310="",F310="",G310=""),"",((H310+I310)*1024)/(E310*F310*G310/16384))</x:f>
        <x:v>272</x:v>
      </x:c>
      <x:c r="Q310" s="2922" t="n">
        <x:f>IF(OR(E310="",F310="",G310=""),"",(E310*F310*4)/(E310*F310*G310/16384))</x:f>
        <x:v>128</x:v>
      </x:c>
      <x:c r="R310" s="2920" t="n">
        <x:f>IF(AND(ISNUMBER(K310),K310&gt;0,ISNUMBER(P310),P310&gt;0),MIN(1,K310/P310),"")</x:f>
        <x:v>0.47058823529411764</x:v>
      </x:c>
      <x:c r="S310" s="2920" t="n">
        <x:f>IF(AND(ISNUMBER(K310),K310&gt;0,ISNUMBER(Q310),Q310&gt;0),MIN(1,K310/Q310),"")</x:f>
        <x:v>1</x:v>
      </x:c>
      <x:c r="T310" s="2920" t="n">
        <x:f>IF(AND(ISNUMBER(R310),ISNUMBER(S310)),MIN(R310,S310),"")</x:f>
        <x:v>0.47058823529411764</x:v>
      </x:c>
      <x:c r="U310" s="2922" t="n">
        <x:f>IF(AND(ISNUMBER(M310),ISNUMBER(T310)),(M310-T310)*100,"")</x:f>
        <x:v>-27.35882352941177</x:v>
      </x:c>
      <x:c r="V310" s="2979" t="n"/>
      <x:c r="W310" s="2920" t="n"/>
      <x:c r="X310" s="2920" t="n"/>
      <x:c r="Y310" s="2959" t="n"/>
      <x:c r="Z310" s="2920" t="n"/>
      <x:c r="AA310" s="2937" t="n"/>
      <x:c r="AB310" s="2938" t="inlineStr">
        <x:is>
          <x:t xml:space="preserve">PASS</x:t>
        </x:is>
      </x:c>
      <x:c r="AC310" s="2930" t="inlineStr">
        <x:is>
          <x:t xml:space="preserve">matmul_shared_lowp（MXFP4）；本轮 model-main ae058a98 + 6参数(无SoC带宽/延迟) 2026-09-26</x:t>
        </x:is>
      </x:c>
    </x:row>
    <x:row r="311" ht="20" customHeight="1">
      <x:c r="A311" s="2916" t="inlineStr">
        <x:is>
          <x:t xml:space="preserve">MXFP4</x:t>
        </x:is>
      </x:c>
      <x:c r="B311" s="2979" t="n">
        <x:v>128</x:v>
      </x:c>
      <x:c r="C311" s="2979" t="n">
        <x:v>256</x:v>
      </x:c>
      <x:c r="D311" s="2979" t="n">
        <x:v>32768</x:v>
      </x:c>
      <x:c r="E311" s="2979" t="n">
        <x:v>128</x:v>
      </x:c>
      <x:c r="F311" s="2979" t="n">
        <x:v>128</x:v>
      </x:c>
      <x:c r="G311" s="2979" t="n">
        <x:v>1024</x:v>
      </x:c>
      <x:c r="H311" s="2980" t="n">
        <x:v>132</x:v>
      </x:c>
      <x:c r="I311" s="2980" t="n">
        <x:v>132</x:v>
      </x:c>
      <x:c r="J311" s="2980" t="n">
        <x:v>264</x:v>
      </x:c>
      <x:c r="K311" s="2981" t="n">
        <x:v>128</x:v>
      </x:c>
      <x:c r="L311" s="2979" t="inlineStr">
        <x:is>
          <x:t xml:space="preserve">—</x:t>
        </x:is>
      </x:c>
      <x:c r="M311" s="2920" t="str">
        <x:f>IF(AND(ISNUMBER(L311),L311&gt;0),ROUND(B311*C311*D311/16384/L311*100,1)/100,"")</x:f>
      </x:c>
      <x:c r="N311" s="2979" t="n">
        <x:f>IF(OR(B311="",C311="",D311="",E311="",F311="",G311=""),"",ROUNDUP(B311/MIN(E311,128),0)*(C311/F311)*(D311/G311)*((MIN(B311,MIN(E311,128))+F311)*G311*(17/32)/1024))</x:f>
        <x:v>8704</x:v>
      </x:c>
      <x:c r="O311" s="2921" t="n">
        <x:f>IF(AND(ISNUMBER(N311),ISNUMBER(K311),K311&gt;0),N311*1024/K311,"")</x:f>
        <x:v>69632</x:v>
      </x:c>
      <x:c r="P311" s="2922" t="n">
        <x:f>IF(OR(E311="",F311="",G311=""),"",((H311+I311)*1024)/(E311*F311*G311/16384))</x:f>
        <x:v>264</x:v>
      </x:c>
      <x:c r="Q311" s="2922" t="n">
        <x:f>IF(OR(E311="",F311="",G311=""),"",(E311*F311*4)/(E311*F311*G311/16384))</x:f>
        <x:v>64</x:v>
      </x:c>
      <x:c r="R311" s="2920" t="n">
        <x:f>IF(AND(ISNUMBER(K311),K311&gt;0,ISNUMBER(P311),P311&gt;0),MIN(1,K311/P311),"")</x:f>
        <x:v>0.48484848484848486</x:v>
      </x:c>
      <x:c r="S311" s="2920" t="n">
        <x:f>IF(AND(ISNUMBER(K311),K311&gt;0,ISNUMBER(Q311),Q311&gt;0),MIN(1,K311/Q311),"")</x:f>
        <x:v>1</x:v>
      </x:c>
      <x:c r="T311" s="2920" t="n">
        <x:f>IF(AND(ISNUMBER(R311),ISNUMBER(S311)),MIN(R311,S311),"")</x:f>
        <x:v>0.48484848484848486</x:v>
      </x:c>
      <x:c r="U311" s="2922" t="str">
        <x:f>IF(AND(ISNUMBER(M311),ISNUMBER(T311)),(M311-T311)*100,"")</x:f>
      </x:c>
      <x:c r="V311" s="2979" t="n"/>
      <x:c r="W311" s="2920" t="n"/>
      <x:c r="X311" s="2920" t="n"/>
      <x:c r="Y311" s="2959" t="n"/>
      <x:c r="Z311" s="2920" t="n"/>
      <x:c r="AA311" s="2937" t="n"/>
      <x:c r="AB311" s="2939" t="inlineStr">
        <x:is>
          <x:t xml:space="preserve">COMPILE_FAIL</x:t>
        </x:is>
      </x:c>
      <x:c r="AC311" s="2930" t="inlineStr">
        <x:is>
          <x:t xml:space="preserve">容量超限：完整 SharedTile 足迹 &gt; 256 KiB；本轮 model-main 9b3a4405 + 8参数(256KB ShareTReg) 2026-09-22</x:t>
        </x:is>
      </x:c>
    </x:row>
    <x:row r="312" ht="20" customHeight="1">
      <x:c r="A312" s="2916" t="inlineStr">
        <x:is>
          <x:t xml:space="preserve">MXFP4</x:t>
        </x:is>
      </x:c>
      <x:c r="B312" s="2979" t="n">
        <x:v>128</x:v>
      </x:c>
      <x:c r="C312" s="2979" t="n">
        <x:v>256</x:v>
      </x:c>
      <x:c r="D312" s="2979" t="n">
        <x:v>32768</x:v>
      </x:c>
      <x:c r="E312" s="2979" t="n">
        <x:v>128</x:v>
      </x:c>
      <x:c r="F312" s="2979" t="n">
        <x:v>256</x:v>
      </x:c>
      <x:c r="G312" s="2979" t="n">
        <x:v>256</x:v>
      </x:c>
      <x:c r="H312" s="2980" t="n">
        <x:v>36</x:v>
      </x:c>
      <x:c r="I312" s="2980" t="n">
        <x:v>72</x:v>
      </x:c>
      <x:c r="J312" s="2980" t="n">
        <x:v>108</x:v>
      </x:c>
      <x:c r="K312" s="2981" t="n">
        <x:v>128</x:v>
      </x:c>
      <x:c r="L312" s="2979" t="n">
        <x:v>230287</x:v>
      </x:c>
      <x:c r="M312" s="2920" t="n">
        <x:f>IF(AND(ISNUMBER(L312),L312&gt;0),ROUND(B312*C312*D312/16384/L312*100,1)/100,"")</x:f>
        <x:v>0.285</x:v>
      </x:c>
      <x:c r="N312" s="2979" t="n">
        <x:f>IF(OR(B312="",C312="",D312="",E312="",F312="",G312=""),"",ROUNDUP(B312/MIN(E312,128),0)*(C312/F312)*(D312/G312)*((MIN(B312,MIN(E312,128))+F312)*G312*(17/32)/1024))</x:f>
        <x:v>6528</x:v>
      </x:c>
      <x:c r="O312" s="2921" t="n">
        <x:f>IF(AND(ISNUMBER(N312),ISNUMBER(K312),K312&gt;0),N312*1024/K312,"")</x:f>
        <x:v>52224</x:v>
      </x:c>
      <x:c r="P312" s="2922" t="n">
        <x:f>IF(OR(E312="",F312="",G312=""),"",((H312+I312)*1024)/(E312*F312*G312/16384))</x:f>
        <x:v>216</x:v>
      </x:c>
      <x:c r="Q312" s="2922" t="n">
        <x:f>IF(OR(E312="",F312="",G312=""),"",(E312*F312*4)/(E312*F312*G312/16384))</x:f>
        <x:v>256</x:v>
      </x:c>
      <x:c r="R312" s="2920" t="n">
        <x:f>IF(AND(ISNUMBER(K312),K312&gt;0,ISNUMBER(P312),P312&gt;0),MIN(1,K312/P312),"")</x:f>
        <x:v>0.5925925925925926</x:v>
      </x:c>
      <x:c r="S312" s="2920" t="n">
        <x:f>IF(AND(ISNUMBER(K312),K312&gt;0,ISNUMBER(Q312),Q312&gt;0),MIN(1,K312/Q312),"")</x:f>
        <x:v>0.5</x:v>
      </x:c>
      <x:c r="T312" s="2920" t="n">
        <x:f>IF(AND(ISNUMBER(R312),ISNUMBER(S312)),MIN(R312,S312),"")</x:f>
        <x:v>0.5</x:v>
      </x:c>
      <x:c r="U312" s="2922" t="n">
        <x:f>IF(AND(ISNUMBER(M312),ISNUMBER(T312)),(M312-T312)*100,"")</x:f>
        <x:v>-21.500000000000004</x:v>
      </x:c>
      <x:c r="V312" s="2979" t="n"/>
      <x:c r="W312" s="2920" t="n"/>
      <x:c r="X312" s="2920" t="n"/>
      <x:c r="Y312" s="2959" t="n"/>
      <x:c r="Z312" s="2920" t="n"/>
      <x:c r="AA312" s="2937" t="n"/>
      <x:c r="AB312" s="2938" t="inlineStr">
        <x:is>
          <x:t xml:space="preserve">PASS</x:t>
        </x:is>
      </x:c>
      <x:c r="AC312" s="2930" t="inlineStr">
        <x:is>
          <x:t xml:space="preserve">matmul_shared_lowp（MXFP4）；本轮 model-main ae058a98 + 6参数(无SoC带宽/延迟) 2026-09-26</x:t>
        </x:is>
      </x:c>
    </x:row>
    <x:row r="313" ht="20" customHeight="1">
      <x:c r="A313" s="2916" t="inlineStr">
        <x:is>
          <x:t xml:space="preserve">MXFP4</x:t>
        </x:is>
      </x:c>
      <x:c r="B313" s="2979" t="n">
        <x:v>128</x:v>
      </x:c>
      <x:c r="C313" s="2979" t="n">
        <x:v>256</x:v>
      </x:c>
      <x:c r="D313" s="2979" t="n">
        <x:v>32768</x:v>
      </x:c>
      <x:c r="E313" s="2979" t="n">
        <x:v>128</x:v>
      </x:c>
      <x:c r="F313" s="2979" t="n">
        <x:v>256</x:v>
      </x:c>
      <x:c r="G313" s="2979" t="n">
        <x:v>512</x:v>
      </x:c>
      <x:c r="H313" s="2980" t="n">
        <x:v>68</x:v>
      </x:c>
      <x:c r="I313" s="2980" t="n">
        <x:v>136</x:v>
      </x:c>
      <x:c r="J313" s="2980" t="n">
        <x:v>204</x:v>
      </x:c>
      <x:c r="K313" s="2981" t="n">
        <x:v>128</x:v>
      </x:c>
      <x:c r="L313" s="2979" t="n">
        <x:v>320290</x:v>
      </x:c>
      <x:c r="M313" s="2920" t="n">
        <x:f>IF(AND(ISNUMBER(L313),L313&gt;0),ROUND(B313*C313*D313/16384/L313*100,1)/100,"")</x:f>
        <x:v>0.205</x:v>
      </x:c>
      <x:c r="N313" s="2979" t="n">
        <x:f>IF(OR(B313="",C313="",D313="",E313="",F313="",G313=""),"",ROUNDUP(B313/MIN(E313,128),0)*(C313/F313)*(D313/G313)*((MIN(B313,MIN(E313,128))+F313)*G313*(17/32)/1024))</x:f>
        <x:v>6528</x:v>
      </x:c>
      <x:c r="O313" s="2921" t="n">
        <x:f>IF(AND(ISNUMBER(N313),ISNUMBER(K313),K313&gt;0),N313*1024/K313,"")</x:f>
        <x:v>52224</x:v>
      </x:c>
      <x:c r="P313" s="2922" t="n">
        <x:f>IF(OR(E313="",F313="",G313=""),"",((H313+I313)*1024)/(E313*F313*G313/16384))</x:f>
        <x:v>204</x:v>
      </x:c>
      <x:c r="Q313" s="2922" t="n">
        <x:f>IF(OR(E313="",F313="",G313=""),"",(E313*F313*4)/(E313*F313*G313/16384))</x:f>
        <x:v>128</x:v>
      </x:c>
      <x:c r="R313" s="2920" t="n">
        <x:f>IF(AND(ISNUMBER(K313),K313&gt;0,ISNUMBER(P313),P313&gt;0),MIN(1,K313/P313),"")</x:f>
        <x:v>0.6274509803921569</x:v>
      </x:c>
      <x:c r="S313" s="2920" t="n">
        <x:f>IF(AND(ISNUMBER(K313),K313&gt;0,ISNUMBER(Q313),Q313&gt;0),MIN(1,K313/Q313),"")</x:f>
        <x:v>1</x:v>
      </x:c>
      <x:c r="T313" s="2920" t="n">
        <x:f>IF(AND(ISNUMBER(R313),ISNUMBER(S313)),MIN(R313,S313),"")</x:f>
        <x:v>0.6274509803921569</x:v>
      </x:c>
      <x:c r="U313" s="2922" t="n">
        <x:f>IF(AND(ISNUMBER(M313),ISNUMBER(T313)),(M313-T313)*100,"")</x:f>
        <x:v>-42.24509803921569</x:v>
      </x:c>
      <x:c r="V313" s="2979" t="n"/>
      <x:c r="W313" s="2920" t="n"/>
      <x:c r="X313" s="2920" t="n"/>
      <x:c r="Y313" s="2959" t="n"/>
      <x:c r="Z313" s="2920" t="n"/>
      <x:c r="AA313" s="2937" t="n"/>
      <x:c r="AB313" s="2938" t="inlineStr">
        <x:is>
          <x:t xml:space="preserve">PASS</x:t>
        </x:is>
      </x:c>
      <x:c r="AC313" s="2930" t="inlineStr">
        <x:is>
          <x:t xml:space="preserve">matmul_shared_lowp（MXFP4）；本轮 model-main ae058a98 + 6参数(无SoC带宽/延迟) 2026-09-26</x:t>
        </x:is>
      </x:c>
    </x:row>
    <x:row r="314" ht="20" customHeight="1">
      <x:c r="A314" s="2916" t="inlineStr">
        <x:is>
          <x:t xml:space="preserve">MXFP4</x:t>
        </x:is>
      </x:c>
      <x:c r="B314" s="2979" t="n">
        <x:v>128</x:v>
      </x:c>
      <x:c r="C314" s="2979" t="n">
        <x:v>256</x:v>
      </x:c>
      <x:c r="D314" s="2979" t="n">
        <x:v>32768</x:v>
      </x:c>
      <x:c r="E314" s="2979" t="n">
        <x:v>128</x:v>
      </x:c>
      <x:c r="F314" s="2979" t="n">
        <x:v>256</x:v>
      </x:c>
      <x:c r="G314" s="2979" t="n">
        <x:v>1024</x:v>
      </x:c>
      <x:c r="H314" s="2980" t="n">
        <x:v>132</x:v>
      </x:c>
      <x:c r="I314" s="2980" t="n">
        <x:v>264</x:v>
      </x:c>
      <x:c r="J314" s="2980" t="n">
        <x:v>396</x:v>
      </x:c>
      <x:c r="K314" s="2981" t="n">
        <x:v>128</x:v>
      </x:c>
      <x:c r="L314" s="2979" t="inlineStr">
        <x:is>
          <x:t xml:space="preserve">—</x:t>
        </x:is>
      </x:c>
      <x:c r="M314" s="2920" t="str">
        <x:f>IF(AND(ISNUMBER(L314),L314&gt;0),ROUND(B314*C314*D314/16384/L314*100,1)/100,"")</x:f>
      </x:c>
      <x:c r="N314" s="2979" t="n">
        <x:f>IF(OR(B314="",C314="",D314="",E314="",F314="",G314=""),"",ROUNDUP(B314/MIN(E314,128),0)*(C314/F314)*(D314/G314)*((MIN(B314,MIN(E314,128))+F314)*G314*(17/32)/1024))</x:f>
        <x:v>6528</x:v>
      </x:c>
      <x:c r="O314" s="2921" t="n">
        <x:f>IF(AND(ISNUMBER(N314),ISNUMBER(K314),K314&gt;0),N314*1024/K314,"")</x:f>
        <x:v>52224</x:v>
      </x:c>
      <x:c r="P314" s="2922" t="n">
        <x:f>IF(OR(E314="",F314="",G314=""),"",((H314+I314)*1024)/(E314*F314*G314/16384))</x:f>
        <x:v>198</x:v>
      </x:c>
      <x:c r="Q314" s="2922" t="n">
        <x:f>IF(OR(E314="",F314="",G314=""),"",(E314*F314*4)/(E314*F314*G314/16384))</x:f>
        <x:v>64</x:v>
      </x:c>
      <x:c r="R314" s="2920" t="n">
        <x:f>IF(AND(ISNUMBER(K314),K314&gt;0,ISNUMBER(P314),P314&gt;0),MIN(1,K314/P314),"")</x:f>
        <x:v>0.6464646464646465</x:v>
      </x:c>
      <x:c r="S314" s="2920" t="n">
        <x:f>IF(AND(ISNUMBER(K314),K314&gt;0,ISNUMBER(Q314),Q314&gt;0),MIN(1,K314/Q314),"")</x:f>
        <x:v>1</x:v>
      </x:c>
      <x:c r="T314" s="2920" t="n">
        <x:f>IF(AND(ISNUMBER(R314),ISNUMBER(S314)),MIN(R314,S314),"")</x:f>
        <x:v>0.6464646464646465</x:v>
      </x:c>
      <x:c r="U314" s="2922" t="str">
        <x:f>IF(AND(ISNUMBER(M314),ISNUMBER(T314)),(M314-T314)*100,"")</x:f>
      </x:c>
      <x:c r="V314" s="2979" t="n"/>
      <x:c r="W314" s="2920" t="n"/>
      <x:c r="X314" s="2920" t="n"/>
      <x:c r="Y314" s="2959" t="n"/>
      <x:c r="Z314" s="2920" t="n"/>
      <x:c r="AA314" s="2937" t="n"/>
      <x:c r="AB314" s="2939" t="inlineStr">
        <x:is>
          <x:t xml:space="preserve">COMPILE_FAIL</x:t>
        </x:is>
      </x:c>
      <x:c r="AC314" s="2930" t="inlineStr">
        <x:is>
          <x:t xml:space="preserve">容量超限：完整 SharedTile 足迹 &gt; 256 KiB；本轮 model-main 9b3a4405 + 8参数(256KB ShareTReg) 2026-09-22</x:t>
        </x:is>
      </x:c>
    </x:row>
  </x:sheetData>
  <x:mergeCells>
    <x:mergeCell ref="A6:K6"/>
    <x:mergeCell ref="L6:M6"/>
    <x:mergeCell ref="AB6:AC6"/>
    <x:mergeCell ref="N6:O6"/>
    <x:mergeCell ref="P6:T6"/>
    <x:mergeCell ref="A2:AC2"/>
    <x:mergeCell ref="A4:AC4"/>
    <x:mergeCell ref="V6:AA6"/>
  </x:mergeCells>
  <x:pageMargins left="0.7" right="0.7" top="0.75" bottom="0.75" header="0.3" footer="0.3"/>
</x:worksheet>
</file>